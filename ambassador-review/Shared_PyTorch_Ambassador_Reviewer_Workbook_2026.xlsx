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Rubric" sheetId="2" r:id="rId6"/>
    <sheet state="visible" name="Reviewer 01" sheetId="3" r:id="rId7"/>
    <sheet state="visible" name="Reviewer 02" sheetId="4" r:id="rId8"/>
    <sheet state="visible" name="Reviewer 03" sheetId="5" r:id="rId9"/>
    <sheet state="visible" name="Reviewer 04" sheetId="6" r:id="rId10"/>
    <sheet state="visible" name="Reviewer 05" sheetId="7" r:id="rId11"/>
    <sheet state="visible" name="Reviewer 06" sheetId="8" r:id="rId12"/>
    <sheet state="visible" name="Reviewer 07" sheetId="9" r:id="rId13"/>
    <sheet state="visible" name="Reviewer 08" sheetId="10" r:id="rId14"/>
    <sheet state="visible" name="Reviewer 09" sheetId="11" r:id="rId15"/>
    <sheet state="visible" name="Reviewer 10" sheetId="12" r:id="rId16"/>
    <sheet state="visible" name="Reviewer 11" sheetId="13" r:id="rId17"/>
  </sheets>
  <definedNames/>
  <calcPr/>
</workbook>
</file>

<file path=xl/sharedStrings.xml><?xml version="1.0" encoding="utf-8"?>
<sst xmlns="http://schemas.openxmlformats.org/spreadsheetml/2006/main" count="6274" uniqueCount="1744">
  <si>
    <t>Reviewer Rubric</t>
  </si>
  <si>
    <t>PyTorch Ambassador Program 2026 — Reviewer Workbook</t>
  </si>
  <si>
    <t>Shared workbook • each reviewer edits only the tab assigned by the program team</t>
  </si>
  <si>
    <t>Use the mapping to locate relevant evidence; score each question independently.</t>
  </si>
  <si>
    <t>How to use this workbook</t>
  </si>
  <si>
    <t>Question</t>
  </si>
  <si>
    <t>1</t>
  </si>
  <si>
    <t>Review Area</t>
  </si>
  <si>
    <t>Reviewer Scoring Question</t>
  </si>
  <si>
    <t>Open only the reviewer tab assigned to you.</t>
  </si>
  <si>
    <t>Question 1</t>
  </si>
  <si>
    <t>Foundation Project Engagement</t>
  </si>
  <si>
    <t>2</t>
  </si>
  <si>
    <t>Has the nominee demonstrated meaningful engagement with PyTorch Foundation projects or communities?</t>
  </si>
  <si>
    <t>Read the original application responses and supporting links.</t>
  </si>
  <si>
    <t>Question 2</t>
  </si>
  <si>
    <t>3</t>
  </si>
  <si>
    <t>Select one score from 1–5 for Questions 1–8.</t>
  </si>
  <si>
    <t>Has the nominee demonstrated measurable impact through technical contributions, community engagement, documentation, education, mentorship, or advocacy within PyTorch Foundation projects or communities?</t>
  </si>
  <si>
    <t>4</t>
  </si>
  <si>
    <t>Question 3</t>
  </si>
  <si>
    <t>Community Impact</t>
  </si>
  <si>
    <t>Select one recommendation and provide a brief comment.</t>
  </si>
  <si>
    <t>Has the nominee actively supported, mentored, educated, or organized activities for the community?</t>
  </si>
  <si>
    <t>Question 4</t>
  </si>
  <si>
    <t>5</t>
  </si>
  <si>
    <t>Has the nominee helped others learn, participate, contribute, or build community?</t>
  </si>
  <si>
    <t>If you have a conflict, select “Abstain (Conflict of Interest),” leave scores blank, and add a short note.</t>
  </si>
  <si>
    <t>Question 5</t>
  </si>
  <si>
    <t>Ambassador Potential</t>
  </si>
  <si>
    <t>Does the nominee present a clear, realistic, and achievable plan for Ambassador activities?</t>
  </si>
  <si>
    <t>6</t>
  </si>
  <si>
    <t>Question 6</t>
  </si>
  <si>
    <t>Enter information only in the score, recommendation, and reviewer-comment cells. Application responses and formula cells are protected and view-only.</t>
  </si>
  <si>
    <t>Are the proposed activities likely to create meaningful value for PyTorch Foundation projects and communities?</t>
  </si>
  <si>
    <t>Question 7</t>
  </si>
  <si>
    <t>Communication &amp; Advocacy</t>
  </si>
  <si>
    <t>Has the nominee demonstrated the ability to communicate technical concepts effectively?</t>
  </si>
  <si>
    <t>Question 8</t>
  </si>
  <si>
    <t>7</t>
  </si>
  <si>
    <t>Confirm the Review Status displays “Complete” before finishing. Your work saves automatically.</t>
  </si>
  <si>
    <t>Does the nominee demonstrate the knowledge, engagement, and communication skills necessary to effectively represent PyTorch Foundation projects and communities as an Ambassador?</t>
  </si>
  <si>
    <t xml:space="preserve">Important: The mapping is a guide. One application response may support multiple review questions. </t>
  </si>
  <si>
    <t>Scoring scale</t>
  </si>
  <si>
    <t>Limited Evidence</t>
  </si>
  <si>
    <t>Emerging Contributor</t>
  </si>
  <si>
    <t>Solid Contributor</t>
  </si>
  <si>
    <t>Reviewer 02 — Applications &amp; Scoring</t>
  </si>
  <si>
    <t>Reviewer 01 — Applications &amp; Scoring</t>
  </si>
  <si>
    <t>Strong Contributor</t>
  </si>
  <si>
    <t>Exceptional Contributor</t>
  </si>
  <si>
    <t>25 assigned applications • orange cells are reviewer inputs</t>
  </si>
  <si>
    <t>PyTorch Foundation Ambassador Program 2026 Reviewer Guide — PyTorch_Foundation_Ambassador_Program_2026_Reviewer_Guide.docx</t>
  </si>
  <si>
    <t>APPLICATION INFORMATION AND EVIDENCE</t>
  </si>
  <si>
    <t>REVIEWER SCORING AND RECOMMENDATION</t>
  </si>
  <si>
    <t>Submission ID</t>
  </si>
  <si>
    <t>Issue URL</t>
  </si>
  <si>
    <t>GitHub Username</t>
  </si>
  <si>
    <t>Nominee Full Name</t>
  </si>
  <si>
    <t>Current Location</t>
  </si>
  <si>
    <t>Years of Community Involvement</t>
  </si>
  <si>
    <t>GitHub Profile</t>
  </si>
  <si>
    <t>Personal Website / Portfolio</t>
  </si>
  <si>
    <t>GitLab Profile</t>
  </si>
  <si>
    <t>LinkedIn Profile</t>
  </si>
  <si>
    <t>X / Twitter Profile</t>
  </si>
  <si>
    <t>If 'Other' was selected, please specify</t>
  </si>
  <si>
    <t>Which PyTorch Foundation projects is the 
nominee familiar with?</t>
  </si>
  <si>
    <t>If 'Other' was selected, 
please specify the project name</t>
  </si>
  <si>
    <t>How has the nominee contributed to the community?</t>
  </si>
  <si>
    <t>Please describe the nominee’s contributions to PyTorch Foundation projects and communities</t>
  </si>
  <si>
    <t>Why does the nominee want to become a PyTorch Foundation Ambassador?</t>
  </si>
  <si>
    <t>How would this nominee contribute as a PyTorch Foundation Ambassador?</t>
  </si>
  <si>
    <t>Ambassador Focus Areas</t>
  </si>
  <si>
    <t>Primary Community Region</t>
  </si>
  <si>
    <t>Primary Country During Ambassador Term</t>
  </si>
  <si>
    <t>Additional Information (Optional)</t>
  </si>
  <si>
    <t>Question 1 Score (1–5)
Has the nominee demonstrated meaningful engagement with PyTorch Foundation projects or communities?</t>
  </si>
  <si>
    <t>Question 2 Score (1–5)
Has the nominee demonstrated measurable impact through technical contributions, community engagement, documentation, education, mentorship, or advocacy within PyTorch Foundation projects or communities?</t>
  </si>
  <si>
    <t>Question 3 Score (1–5)
Has the nominee actively supported, mentored, educated, or organized activities for the community?</t>
  </si>
  <si>
    <t>Question 4 Score (1–5)
Has the nominee helped others learn, participate, contribute, or build community?</t>
  </si>
  <si>
    <t>Question 5 Score (1–5)
Does the nominee present a clear, realistic, and achievable plan for Ambassador activities?</t>
  </si>
  <si>
    <t>Question 6 Score (1–5)
Are the proposed activities likely to create meaningful value for PyTorch Foundation projects and communities?</t>
  </si>
  <si>
    <t>Question 7 Score (1–5)
Has the nominee demonstrated the ability to communicate technical concepts effectively?</t>
  </si>
  <si>
    <t>Question 2 Score (1–5)
Has the nominee demonstrated measurable impact through technical contributions, community engagement, 
documentation,education, mentorship, or advocacy within PyTorch Foundation projects or communities?</t>
  </si>
  <si>
    <t>Question 8 Score (1–5)
Does the nominee demonstrate the knowledge, engagement, and communication skills necessary to effectively represent PyTorch Foundation projects and communities as an Ambassador?</t>
  </si>
  <si>
    <t>Total Score</t>
  </si>
  <si>
    <t>Reviewer Recommendation</t>
  </si>
  <si>
    <t>Reviewer Comments</t>
  </si>
  <si>
    <t>Review Status</t>
  </si>
  <si>
    <t>AddyM</t>
  </si>
  <si>
    <t>daud-shahbaz</t>
  </si>
  <si>
    <t xml:space="preserve">Aditya Mehra
</t>
  </si>
  <si>
    <t xml:space="preserve">Cupertino, USA
</t>
  </si>
  <si>
    <t xml:space="preserve">Daud Shahbaz
</t>
  </si>
  <si>
    <t xml:space="preserve">5+ years
</t>
  </si>
  <si>
    <t xml:space="preserve">Islamabad, Pakistan
</t>
  </si>
  <si>
    <t xml:space="preserve">https://github.com/AddyM
</t>
  </si>
  <si>
    <t xml:space="preserve">- [x] Other
</t>
  </si>
  <si>
    <t xml:space="preserve">Less than 1 year
</t>
  </si>
  <si>
    <t xml:space="preserve">_No response_
</t>
  </si>
  <si>
    <t xml:space="preserve">https://www.linkedin.com/in/itis-aditya-mehra/
</t>
  </si>
  <si>
    <t xml:space="preserve">https://github.com/daud-shahbaz
</t>
  </si>
  <si>
    <t xml:space="preserve">- [ ] Other
</t>
  </si>
  <si>
    <t xml:space="preserve">https://medium.com/@aditya_mehra
</t>
  </si>
  <si>
    <t xml:space="preserve">https://gitlab.com/daud-shahbaz
</t>
  </si>
  <si>
    <t xml:space="preserve">- [x] PyTorch
- [x] vLLM
- [ ] DeepSpeed
- [ ] Ray
- [ ] Helion
- [x] Safetensors
- [ ] Other
</t>
  </si>
  <si>
    <t xml:space="preserve">- [x] Open source contributions
- [x] Technical content creation
- [x] Community leadership
- [x] Events or workshops
- [x] Research or academic work
- [x] Mentorship
- [x] University or student outreach
- [ ] Translation or localization efforts
- [x] Other
</t>
  </si>
  <si>
    <t xml:space="preserve">- [x] PyTorch
- [ ] vLLM
- [ ] DeepSpeed
- [ ] Ray
- [ ] Helion
- [ ] Safetensors
- [ ] Other
</t>
  </si>
  <si>
    <t xml:space="preserve">- [x] Open source contributions
- [ ] Technical content creation
- [ ] Community leadership
- [ ] Events or workshops
- [x] Research or academic work
- [x] Mentorship
- [x] University or student outreach
- [ ] Translation or localization efforts
- [x] Other
</t>
  </si>
  <si>
    <t xml:space="preserve">## Community Contribution Overview
I am an undergraduate Computer Science student at COMSATS University Islamabad with interests in deep learning, AI systems, and open-source software. My involvement with the PyTorch ecosystem has primarily been through independent projects, research, and technical knowledge sharing within my university community.
I actively maintain public repositories documenting my learning and development process. My work includes machine learning projects such as ECG anomaly detection using deep learning techniques and experimentation with agentic AI systems. Through these projects, I have gained practical experience with PyTorch workflows and modern AI tooling.
Beyond development, I regularly collaborate with classmates and peers, helping them understand machine learning concepts, programming fundamentals, and practical AI development. I believe that making AI education accessible is essential for growing strong technical communities.
https://github.com/daud-shahbaz/pnn
As an early-career developer, I aim to contribute to the PyTorch ecosystem through continued technical work, research, and community engagement while promoting open-source learning among students in Pakistan.
</t>
  </si>
  <si>
    <t xml:space="preserve">PyTorch has been central to my journey into machine learning and AI. As a student from Pakistan, I have experienced how open-source technologies and freely accessible educational resources can empower aspiring developers and researchers.
I want to become a PyTorch Foundation Ambassador because I believe communities grow through education, collaboration, and shared learning. I hope to help students and newcomers discover PyTorch, understand modern deep learning workflows, and participate in open-source AI ecosystems.
Through the Ambassador Program, I hope to connect with a global network of contributors and bring those experiences back to my local community. My long-term goal is to help strengthen the PyTorch ecosystem in Pakistan and encourage more students to pursue machine learning research and development.
</t>
  </si>
  <si>
    <t xml:space="preserve">My engagement with the PyTorch Foundation spans open-source contributions, original tooling, technical writing, community support on official platforms, conference speaking, and policy/standards advocacy. The links below back every claim.
--Open Source Contributions to PyTorch Foundation Projects
**torchdiag — PyTorch model health diagnostics toolkit (creator and maintainer)**
A lightweight, pip-installable diagnostic library that brings SRE-style observability to PyTorch model training: gradient health checks, dead-neuron detection, training-step verification, and memory profiling. Five commands, zero configuration, MIT-licensed.
1. PyPI: https://pypi.org/project/torchdiag/
2.GitHub: https://github.com/AddyM/torchdiag
3.  CI: Tested across Python 3.9 / 3.10 / 3.11 / 3.12 via GitHub Actions
4.  Installable: pip install torchdiag
**pytorch/tutorials — Open Pull Request #3908**
Authored "Visualizing the Mathematics Behind Neural Network Training," a beginner tutorial that traces how linear algebra, calculus, and optimization map directly to torch.nn.Linear, torch.autograd, and torch.optim. Every concept is verified with runnable code (torch.allclose) so learners see the math, not just read about it. CI green, awaiting review.
1. PR: https://github.com/pytorch/tutorials/pull/3908
2.  Linked Feature Request Issue: https://github.com/pytorch/tutorials/issues/3907
**pytorch/pytorch — Inductor compiler diagnostics**
Submitted precise root-cause analyses on two open Inductor bugs, including a verified end-to-end reproduction and a tested fix with documented tradeoffs:
1.  Issue #185533: https://github.com/pytorch/pytorch/issues/185533 (tuned_addmm calling get_stride() on an unrealized SliceView — verified repro, verified fix, three ranked fix options)
2.  Issue #185510: https://github.com/pytorch/pytorch/issues/185510 (symbolic strides dropped at the argsort boundary in get_fill_order; identified duplicate of #172204 spanning two PyTorch versions)
**PyTorch Ecosystem Contributions**
3.NVIDIA NemoClaw PR #1189 — declarative host filesystem mounts for policy YAML schema
Active forks and engagement with Optuna, Opik, PyCaret (PyTorch-adjacent ML tooling)
**Technical Content &amp; Knowledge Sharing**
**https://technikal.substack.com/**
Newsletter — Technikal (technikal.substack.com) — PyTorch series:
"Why PyTorch Isn't a Framework Anymore" — the Foundation's ecosystem consolidation story
"What Actually Happens When You Call loss.backward()" — chain rule and autograd internals
"The Compiler Wars Inside PyTorch" — torch.compile vs TorchScript vs ONNX vs TensorRT vs vLLM
"The Most Important Piece of PyTorch Engineering Nobody Talks About" — deep dive on the dispatcher
**Medium technical articles:**
 https://medium.com/@aditya_mehra
"5 PyTorch Commands That Show You What Your Model Is Actually Doing" — practical model inspection
"Your PyTorch Model Is Using 3x More GPU Memory Than You Think" — memory profiling guide
**Dev.to:
https://dev.to/aditya_mehra**
"I Built a Diagnostic Toolkit for PyTorch Because I Was Tired of Guessing Why Models Fail" — torchdiag deep-dive
**Grace Hopper Celebration 2025 Talk Repository:**
 https://github.com/AddyM/Math_behind_ML
"The Math Behind the Magic: Understanding the Role of Mathematics in Deep Learning" — slides, speaker materials, references explicitly mapped to PyTorch APIs
**IEEE-USA InSight article on AI legislation in Congress (published, advocacy work bridging PyTorch ecosystem reality and federal AI policy)
https://ieeeusa.org/committees/aipc/**
IEEE-USA AI Policy Committee — Co-Chair Roles &amp; Contributions:
- Co-Chair, Agentic AI Subcommittee — leading position statement
  development on AI agent safety, accountability, and security
- Co-Chair, Mental Health AI Working Group — drafting policy guidance
  on responsible deployment of AI in mental health contexts
- NIST CAISI Submission Co-Author — contributed to IEEE-USA's formal
  response on agentic AI security to the NIST Center for AI
  Standards and Innovation
Community Engagement on Official PyTorch Platforms
**https://discuss.pytorch.org/**
my profile: https://discuss.pytorch.org/u/aditya_mehra/summary
PyTorch Discuss Forum — multiple substantive technical answers, trust level promoted by the platform based on quality of contributions:
Multi-node CPU DDP with SLURM (distributed training)
MPS / torch.compile performance on Apple Silicon
libtorch 2.10 vs 2.1 CPU performance regression diagnostics
RTX 5060 Ti install troubleshooting
Conv2d batch-vs-channel shape confusion
libcudnn / libnccl link errors with prebuilt libtorch on Linux
**LinkedIn Community — "PyTorch Fundamentals — Learn, Build, Contribute" Group (Founder)**
https://www.linkedin.com/groups/19024016
A free learning community for PyTorch practitioners, supporting a planned weekly workshop series focused on accessibility for learners without traditional math backgrounds.
**vLLM SIG CI meeting — attended; engaged on continuous integration infrastructure for the vLLM project (a PyTorch Foundation project).**
**Conference Speaking**
Grace Hopper Celebration 2025 — "The Math Behind the Magic: Understanding the Role of Mathematics in Deep Learning" (Chicago)
PyCon US — Python community
PyCon India — Python/ML community
PyCon NZ (Kiwi PyCon) — Python community
PyCon Poland
PyCon Africa
PyCon Spain
PyOhio
ISCC (International Symposium on Cluster Computing)
**Mentorship &amp; Educational Outreach**
Eagle Online Academy — Volunteer English teacher supporting Afghan women and refugees in the USA, an initiative I am exploring how to expand with accessible PyTorch fundamentals materials for first-generation ML learners.
NASA Conrad Challenge — Student mentor (high-school innovation program)
Devpost / hackathon judging — Multiple hackathons across innovation and AI tracks
ACM Peer Reviewer Certified — Reviewer for ACM Transactions on AI Security and Privacy (TAISAP)
**Research, Standards &amp; Policy Advocacy**
IEEE-USA AI Policy Committee — Co-Chair of the Agentic AI subcommittee and the Mental Health AI position statement working group
IEEE P7014 Standard — Contributor
NIST CAISI Submission on agentic AI security — co-author
DOE RFI Response on AI — contributor
6 peer-reviewed publications in distributed systems and ML
2 UK Design Patents
Python Software Foundation Member
IEEE Senior Member
Primary Supporting Links
GitHub: https://github.com/addym
torchdiag (PyPI): https://pypi.org/project/torchdiag/
pytorch/tutorials PR #3908: https://github.com/pytorch/tutorials/pull/3908
GHC 2025 talk repo: https://github.com/AddyM/Math_behind_ML
Newsletter: https://technikal.substack.com/
Medium: https://medium.com/@aditya_mehra
Dev.to: https://dev.to/aditya_mehra
LinkedIn: https://www.linkedin.com/in/itis-aditya-mehra/
Distinctive contribution profile: I bring an SRE/production-infrastructure perspective to the PyTorch ecosystem — building tools that automate the observability practices ML teams rarely apply, contributing technical diagnoses on the compiler stack, and creating accessible educational content that connects mathematical foundations to PyTorch's actual APIs.
</t>
  </si>
  <si>
    <t xml:space="preserve">## How would the nominee contribute as a PyTorch Foundation Ambassador?
As a PyTorch Foundation Ambassador, I would focus on technical education, content creation, research, and regional community growth.
I plan to organize study groups, workshops, and virtual sessions to introduce students to PyTorch and practical machine learning. I also intend to create educational resources and project walkthroughs that make deep learning concepts more approachable for beginners.
Additionally, I hope to encourage open-source participation among students and foster collaboration between local learners and the broader PyTorch community. By promoting hands-on learning and sharing practical experiences, I aim to contribute to the growth of an inclusive and active AI ecosystem in Pakistan and South Asia.
</t>
  </si>
  <si>
    <t xml:space="preserve">- [x] Community Building
- [x] Technical Education
- [x] Open Source Contributions
- [x] Research &amp; Academia
- [ ] Developer Advocacy
- [ ] Mentorship
- [x] Events &amp; Workshops
- [x] Content Creation
- [x] Regional Community Growth
- [ ] Other
</t>
  </si>
  <si>
    <t xml:space="preserve">Asia
</t>
  </si>
  <si>
    <t xml:space="preserve">In 18 years of building distributed systems, I have watched technical communities succeed or fail based on a single attribute: how accessible they make their internals to people who do not arrive with the field's prerequisites. PyTorch is the rare community that built its framework around making the underlying mathematics observable — every weight printable, every gradient inspectable, every operation in the computational graph traceable. That design choice is an invitation. The community has not fully cashed it in yet, and I want to help.
My motivation rests on three threads that have converged over the past year:
**Translation**. When I presented "The Math Behind the Magic" at Grace Hopper Celebration 2025, the room that responded most strongly was not the experienced ML engineers — it was the career switchers, the working professionals from adjacent fields, and the students who had bounced off PyTorch tutorials that assumed three semesters of calculus. PyTorch's eager execution model makes deep learning mathematics teachable in a way no other framework does. I want to build the educational materials, workshops, and content that actually use this property — turning the framework itself into the teacher.
**Production reliability**. Most ML failures I have debugged in production are not novel ML problems. They are old distributed systems problems with new names: silent failures, missing observability, untested error paths. I built torchdiag because the SRE practices that took the web industry a decade to internalize have not yet reached ML teams. As an ambassador, I want to bring that perspective into the PyTorch community more systematically — through tooling, writing, and direct engagement with practitioners building real systems.
**Policy bridge**. As Co-Chair of the IEEE-USA AI Policy Committee subcommittees on Agentic AI and Mental Health AI, I sit at conversations where federal policy gets made about AI systems — often by people who have never written import torch. The PyTorch Foundation deserves an ambassador who can carry technical reality into those rooms and bring policy reality back into the engineering community.
An ambassador role is not a destination — it is the formal community standing that lets the writing, teaching, tooling, and advocacy work I am already doing reach further. I am committed to this work regardless of the outcome of this application. Being an ambassador would let me do it with the visibility, network, and resources to make it stick.
</t>
  </si>
  <si>
    <t xml:space="preserve">Pakistan
</t>
  </si>
  <si>
    <t>_No response_</t>
  </si>
  <si>
    <t xml:space="preserve">My plan as an ambassador is to expand work I am already doing across six areas, not to start something new for the sake of the role. Each of the commitments below builds on something already in motion.
Content creation. I write a technical newsletter at technikal.substack.com with a running series on PyTorch internals — the dispatcher, autograd, the compiler stack, and the Foundation's ecosystem consolidation. I will continue this series at a steady cadence, with deeper pieces focused on production reliability, model debugging, and the parts of the framework most practitioners never look at. I will also continue publishing on Medium and Dev.to to reach developers who do not read newsletters.
**Educational outreach**. I founded the "PyTorch Fundamentals — Learn, Build, Contribute" LinkedIn community as a learning space for practitioners who do not come from a traditional math or research background. As an ambassador I plan to run a virtual workshop series through this group, drawing on the material from my Grace Hopper Celebration 2025 talk that mapped the mathematics of deep learning directly to PyTorch APIs. The intent is making the framework accessible to learners the typical PyTorch tutorial assumes too much from.
**Organizing community events.** I recently relocated to the San Francisco Bay Area, which puts me close to a concentration of PyTorch contributors, researchers, and production engineers. I would like to help organize in-person PyTorch meetups in the Bay Area — both general-purpose and focused on niches that are underrepresented at existing events, such as ML in production, model observability, and the SRE / reliability lens applied to training systems.
**Mentoring contributors**. I just opened my own first PR to pytorch/tutorials (#3908) and went through the workflow of forking, branching, contributing, and engaging with maintainers. I would like to help others through that same process — guiding people in my LinkedIn community and through Eagle Online Academy's network from "I have never opened a PR" to "I have an open PR on a PyTorch Foundation project." Outside the PyTorch ecosystem I have already mentored students through the NASA Conrad Challenge and judged hackathons, so this is a continuation, not a new commitment.
**Technical advocacy.** I built torchdiag, a small open-source diagnostic toolkit for PyTorch models (pip install torchdiag), bringing SRE-style observability practices to model training. I plan to keep developing it — adding diagnostics suggested by the community, integrating it with common training workflows, and using it as a vehicle for teaching people what to look for when their models do not learn. I will also continue submitting diagnostic comments and fixes on open PyTorch issues, particularly in the Inductor and torch.compile area where I have already started engaging.
**Supporting local and global AI communities.** As Co-Chair of the IEEE-USA AI Policy Committee subcommittees on Agentic AI and Mental Health AI, I am regularly in policy conversations where decisions about AI systems get made by people who have never written PyTorch code. I would like to carry the PyTorch community's technical reality into those rooms — through NIST, DOE, and IEEE submissions — and bring back what I learn into the engineering community. I have also spoken at PyCon events in multiple countries and will continue to engage with the global Python and ML community through that circuit.
The thread connecting all of this is a single commitment: making PyTorch accessible to people who would not otherwise find a way in — whether they lack the math background, the production experience, the policy context, or the geographic proximity to the existing centers of activity. An ambassador role would give that work a formal platform and a community to do it with.
</t>
  </si>
  <si>
    <t xml:space="preserve">- [x] Community Building
- [x] Technical Education
- [x] Open Source Contributions
- [x] Research &amp; Academia
- [ ] Developer Advocacy
- [x] Mentorship
- [x] Events &amp; Workshops
- [x] Content Creation
- [ ] Regional Community Growth
- [ ] Other
</t>
  </si>
  <si>
    <t xml:space="preserve">North America
</t>
  </si>
  <si>
    <t xml:space="preserve">USA
</t>
  </si>
  <si>
    <t>A bit of professional and supplementary context that did not fit cleanly in the contributions section but supports the case above.
Production ML background. The SRE and production-reliability lens I bring to PyTorch is grounded in actual work, not theory. I spent eleven years at VMware on ESXi / VMkernel and cloud automation, then went on to senior engineering roles at American Express, Fungible (acquired by Microsoft), Bank of America (Senior Engineering Manager, ML — leading a team of 15+ on fraud detection and retrieval-augmented systems), and Fannie Mae (Senior Software Architect, Enterprise Innovation — designing RAG and agentic AI pipelines with LangChain and LangGraph). Most of the PyTorch-in-production patterns I write about come from systems I or my teams have shipped.
Distributed systems and infrastructure foundation. Before ML became my primary focus, I worked on hypervisor and cloud infrastructure problems for over a decade. This is why the SRE lens I bring to model training feels natural — gradient health checks, dead-neuron detection, and training-step verification are the same observability practices used for monitoring service health, applied to a different layer.
Earlier open-source and community work.
Contributed to Optuna, Haystack, sklearn-pandas
Author of airegex — a small CLI tool in Go
Built BridgeAI — a WhatsApp-native AI tutor concept for refugees
Contributor to the awesome-ai-explainability curated resource list
Co-founder of Infinict (Web3/DeFi, acting CTO)
Speaking history.
PyCon US, PyCon India, PyCon NZ (Kiwi PyCon), PyCon Poland, PyCon Africa, PyCon Spain
PyOhio (regional Python conference)
Grace Hopper Celebration 2025 — The Math Behind the Magic
ISCC (International Symposium on Cluster Computing)
DC Startup &amp; Tech Week panel on Web3 and AI
CPI Global B2B Payments Summit
Recognition and credentials not already listed above.
IEEE Senior Member (a grade requiring ten or more years of professional engineering and significant contributions to the field)
Python Software Foundation Member
ACM Peer Reviewer Certified (Transactions on AI Security and Privacy)
Two UK design patents
Approximately six peer-reviewed publications
Supporting resources.
GitHub profile: https://github.com/addym
Newsletter (Technikal): https://technikal.substack.com/
Medium: https://medium.com/@aditya_mehra   (I have moved all my stories out of paywall so that anybody can read them without any payment)
Dev.to: https://dev.to/aditya_mehra
LinkedIn: https://www.linkedin.com/in/itis-aditya-mehra/
torchdiag on PyPI: https://pypi.org/project/torchdiag/
Math_behind_ML repo (GHC 2025 talk): https://github.com/AddyM/Math_behind_ML
pytorch/tutorials PR #3908: https://github.com/pytorch/tutorials/pull/3908
I am happy to provide additional references, recordings, or supporting materials at the request of the review committee.</t>
  </si>
  <si>
    <t>Do Not Recommend</t>
  </si>
  <si>
    <t>Early-stage PyTorch user with thoughtful regional goals, but the application shows limited direct Foundation engagement, measurable impact, or demonstrated technical communication.</t>
  </si>
  <si>
    <t>Reviewer 03 — Applications &amp; Scoring</t>
  </si>
  <si>
    <t>parichaydas</t>
  </si>
  <si>
    <t xml:space="preserve">Parichay Das
</t>
  </si>
  <si>
    <t xml:space="preserve">Kolkata, West Bengal, India
</t>
  </si>
  <si>
    <t xml:space="preserve">https://github.com/parichaydas
</t>
  </si>
  <si>
    <t xml:space="preserve">https://www.linkedin.com/in/parichaydas/
</t>
  </si>
  <si>
    <t xml:space="preserve">- [x] PyTorch
- [x] vLLM
- [x] DeepSpeed
- [x] Ray
- [ ] Helion
- [x] Safetensors
- [x] Other
</t>
  </si>
  <si>
    <t xml:space="preserve">Executorch
</t>
  </si>
  <si>
    <t xml:space="preserve">- [x] Open source contributions
- [x] Technical content creation
- [x] Community leadership
- [x] Events or workshops
- [x] Research or academic work
- [x] Mentorship
- [x] University or student outreach
- [x] Translation or localization efforts
- [ ] Other
</t>
  </si>
  <si>
    <t>HonourObed</t>
  </si>
  <si>
    <t xml:space="preserve">A. [PyTorch Conference Talks &amp; Community Contributions](https://pytorchconference.sched.com/speaker/dasparic)
1. Speaker — PyTorch Conference 2025 (USA): Delivered a talk on ExecuTorch, covering on-device and edge inference deployment with the PyTorch Edge stack.
2. Speaker — PyTorch Conference 2026 (Europe): Model Context Protocol (MCP) and its application to AI/agentic systems.
3. Program Committee Member — PyTorch Conference 2026 (USA): Serving on the program committee
B. Learning Plan / Tutorial — ExecuTorch
1. Prepare a learning plan on ExecuTorch for the global community ([Learning Plan Details](https://learn.arm.com/learning-paths/mobile-graphics-and-gaming/customer-support-chatbot-with-llama-and-executorch-on-arm-based-mobile-devices/)) 
C. Workshop, Meetup, or Event:
    More Than 10 + [Workshop, Meetup or Event ](https://parichaydas.notion.site/Additional-Details-20af7d4341c480c19b84c75a41860b2e)
D. GitHub repositories:
1. [Auto Promoting RAG Platform](https://github.com/parichaydas/Auto-Promoting-RAG-Platform)
2. [On Device AI Framework](https://github.com/parichaydas/On-Device-AI-Framework)
3. [Real Time Multimodal Agents](https://github.com/parichaydas/real-time-multimodal-agents)
**Measurable impact:**
a. Number of events or workshops organized: 10+
b. Community reach or growth: 3000+
c. Number of contributors mentored: 100+
d. Educational initiatives supported: 10+
</t>
  </si>
  <si>
    <t xml:space="preserve">Obed Honour Eje
</t>
  </si>
  <si>
    <t xml:space="preserve">Niger, Nigeria
</t>
  </si>
  <si>
    <t xml:space="preserve">2 years
</t>
  </si>
  <si>
    <t xml:space="preserve">I am an AI and Data Platforms Architect with 15 years of experience. For many years, I have helped and contributed to the developer community, and I want to become an Ambassador to do this in a bigger, more organized way.
Here is what I have already done:
1. Built GitHub AI-related repositories using the PyTorch framework 
2. Gave talks at the PyTorch Conference
3. Organized and spoke at 10+ AI workshops
4. Created a learning plan on ExecuTorch
5. Organized 5+ AI community meetups
6. Built a community of 1,000+ members 
I enjoy bringing people together and teaching them. As an Ambassador, I want to grow this community further, run more workshops, help new contributors, and share simple, useful content so more developers can learn and build with PyTorch.
</t>
  </si>
  <si>
    <t xml:space="preserve">github.com/HonourObed
</t>
  </si>
  <si>
    <t xml:space="preserve">As an Ambassador, I want to help grow the PyTorch community and support its projects in simple, practical ways:
1. Organize community events — Run regular meetups and workshops to grow the community.
2. Mentor contributors — Guide newcomers to make their first PyTorch contributions.
3. Educational outreach — Teach beginners through simple learning plans and hands-on sessions.
4. Technical advocacy — Promote PyTorch and tools like ExecuTorch to developers and teams.
5. Content creation — Write easy tutorials, guides, and posts for learning PyTorch.
6. Support AI communities — Grow the 1,000+ member community and connect it to the wider PyTorch network.
I enjoy bringing people together and teaching them. As an Ambassador, I want to grow this community further, run more workshops, help new contributors, and share simple, useful content so more developers can learn and build with PyTorch.
</t>
  </si>
  <si>
    <t xml:space="preserve">https://www.linkedin.com/in/obed-honour-eje-atomic/
</t>
  </si>
  <si>
    <t xml:space="preserve">- [x] Community Building
- [x] Technical Education
- [x] Open Source Contributions
- [x] Research &amp; Academia
- [x] Developer Advocacy
- [x] Mentorship
- [x] Events &amp; Workshops
- [x] Content Creation
- [x] Regional Community Growth
- [ ] Other
</t>
  </si>
  <si>
    <t xml:space="preserve">India
</t>
  </si>
  <si>
    <t>[Additional context, achievements, talks, projects, videos, blogs, or supporting resources](https://parichaydas.notion.site/Additional-Details-20af7d4341c480c19b84c75a41860b2e)</t>
  </si>
  <si>
    <t xml:space="preserve">- [ ] Open source contributions
- [x] Technical content creation
- [x] Community leadership
- [x] Events or workshops
- [x] Research or academic work
- [x] Mentorship
- [x] University or student outreach
- [ ] Translation or localization efforts
- [ ] Other
</t>
  </si>
  <si>
    <t xml:space="preserve">My direct engagement with PyTorch spans both research and teaching. The most substantive research effort is ongoing work under the ML Collective Robotics Focus Group, where I architected a multimodal perception pipeline integrating RGB images with depth maps for autonomous systems, requiring a custom PyTorch dataloader engineered from scratch and modifications to YOLO-family architectures (YOLOv8x and YOLOv12x) to accept 4-channel RGB-D input. The system achieved mAP@50 of 89.05% with 92.34% precision on an occlusion-heavy detection benchmark. This work was co-presented at the ML Collective Research Jam in April 2026, and a related poster was accepted to the WiML Symposium at ICML 2026. Separately, I trained a YOLOv8n model on an NVIDIA Jetson Nano for real-time crop-weed classification, achieving mAP@50 of 89%, coupled to a ROS 2 control architecture for autonomous actuation on resource-constrained edge hardware. I have also conducted a controlled comparative study benchmarking YOLOv8n, YOLOv12n, RT-DETR, and Faster R-CNN under synthetic domain shift conditions (Gaussian noise, artificial rain, contrast degradation), presented as a poster at IndabaX Nigeria 2026.
[Obed Honour CV.pdf](https://github.com/user-attachments/files/29107882/Obed.Honour.CV.pdf)
On the teaching side, I authored the Robotics and Computer Vision curriculum currently used to train the IEEE FUTMinna Student Branch, a community of approximately 950 students across engineering disciplines. The curriculum integrates practical PyTorch-based model development with foundational computer vision concepts, and I deliver sessions directly to students ranging from early-stage interns encountering deep learning for the first time to branch members building their own project pipelines. Beyond the IEEE branch, I lead Nigeria's first MATLAB Student Community at FUTMinna, grown from approximately 50 members to over 750, and the combined communities I directly oversee represent over 1,700 students across Nigeria.
My individual research contributions have been recognized through the IEEE RAS IDEA Travel Grant for ICRA 2026 and the ROSCon 2026 Diversity Scholarship, both fully funded awards in competitive international selection processes. I participated as a panelist at the Africa Robotics Network Community Building Program at ICRA 2026 in Vienna.
[Obed Honour Eje CV.pdf](https://github.com/user-attachments/files/29108125/Obed.Honour.Eje.CV.pdf)
Supporting link: 
https://honour-obed.netlify.app/
github.com/HonourObed
</t>
  </si>
  <si>
    <t>Reviewer 04 — Applications &amp; Scoring</t>
  </si>
  <si>
    <t xml:space="preserve">My engagement with PyTorch has never been purely technical. Every model I have trained, every dataloader I have engineered, every deployment I have pushed to edge hardware has eventually made its way into a classroom, a workshop, or a conversation with a student who had no prior reason to believe that these tools were available to them. That is not incidental to how I work. It is the reason the work has felt worth doing.
Over the past year, I have been building technical capacity across two student communities at the Federal University of Technology Minna: the IEEE FUTMinna Student Branch, where I authored the Robotics and Computer Vision curriculum now used to train approximately 950 students, and Nigeria's first MATLAB Student Community, which I founded and have grown from roughly 50 members to over 750. Across both, the goal has never been to compress knowledge into a workshop; it has been to give students enough of a working foundation that they can read documentation, debug their own code, and eventually contribute to research. PyTorch is the implementation layer through which the curriculum's machine learning content becomes testable, and the tool through which students first encounter the gap between a model that works on paper and one that behaves reliably under real conditions. I know that encounter well, because I have watched it happen repeatedly, and because I remember what it felt like when I first crossed it myself.
What motivates me to seek this role is something more specific than expanding access. I have sat as a panelist at ICRA 2026 in Vienna; I have seen what the global ML and robotics community expects of the people entering it, the depth of tooling knowledge, the fluency with PyTorch-based pipelines, the ability to read a paper and reproduce its implementation. I come back to Minna knowing exactly what the students are capable of, and exactly what they are currently not being prepared for. The gap is not one of ability; it is one of structured exposure and mentorship at the right standard. The PyTorch Foundation Ambassador Program represents a way to bring that standard home deliberately, to build the kind of community infrastructure that does not just introduce students to PyTorch but prepares them to contribute to it, to publish with it, to compete with it on a global stage. That is the work I want this role to make possible, and it is work I have already been doing long enough to know precisely what it requires.
</t>
  </si>
  <si>
    <t>9bow</t>
  </si>
  <si>
    <t xml:space="preserve">Dongjun Min
</t>
  </si>
  <si>
    <t xml:space="preserve">Seoul, South Korea
</t>
  </si>
  <si>
    <t xml:space="preserve">My research gives me the technical grounding to contribute credibly. Under the ML Collective Robotics Focus Group, I architected a multimodal perception pipeline requiring a custom PyTorch dataloader and modified YOLO-family architectures (YOLOv8x and YOLOv12x) to accept 4-channel RGB-D input; the work achieved mAP@50 of 89.05% with 92.34% precision and was co-presented at the ML Collective Research Jam in April 2026, with a related poster accepted to the WiML Symposium at ICML 2026. I have also trained and deployed PyTorch-based models on resource-constrained edge hardware (NVIDIA Jetson Nano) for real-time autonomous systems, and conducted controlled robustness studies benchmarking CNN and Vision Transformer architectures under synthetic domain shift. This is the depth from which I would produce content: tutorials grounded in real implementation decisions, not introductory surveys.
What makes my situation as an Ambassador unusual is that I do not need to build an audience. The IEEE FUTMinna Student Branch and the MATLAB Student Community together represent over 1,700 students, and both communities already have the event infrastructure, the curriculum pipeline, and the student appetite for exactly the kind of structured PyTorch training I intend to build. Within the term, I plan to organize dedicated PyTorch classes within these communities, designed not only to introduce the framework but to ground students in it deeply enough that they begin applying it to their own projects; the goal is not attendance, but activation. Alongside that, I intend to publish the IEEE Robotics and Computer Vision curriculum as a series of open PyTorch tutorials accessible to students across Africa and similar under-resourced contexts, document case studies from real deployments on edge hardware (an underrepresented area in publicly available PyTorch educational content), and participate actively on PyTorch Discuss as both a contributor and a resource for students encountering the same barriers I once did.
The throughline across all of it is the same conviction that has driven the community work so far: knowledge gathered in a room should not stay in the room. The communities I work with are full of students who are technically curious and practically capable; what they need is structured exposure and the confidence that the tools the broader ML community uses are available to them too. That is what I intend to build.
Supporting links: 
https://honour-obed.netlify.app/
</t>
  </si>
  <si>
    <t xml:space="preserve">https://github.com/petanerd
</t>
  </si>
  <si>
    <t xml:space="preserve">- [x] Community Building
- [x] Technical Education
- [ ] Open Source Contributions
- [ ] Research &amp; Academia
- [ ] Developer Advocacy
- [x] Mentorship
- [x] Events &amp; Workshops
- [x] Content Creation
- [x] Regional Community Growth
- [ ] Other
</t>
  </si>
  <si>
    <t xml:space="preserve">https://www.linkedin.com/in/mindongjun/
</t>
  </si>
  <si>
    <t xml:space="preserve">Africa
</t>
  </si>
  <si>
    <t xml:space="preserve">https://x.com/petanerd
</t>
  </si>
  <si>
    <t xml:space="preserve">Nigeria
</t>
  </si>
  <si>
    <t xml:space="preserve">https://scholar.google.com/citations?user=axVAhPcAAAAJ&amp;hl=en , https://pytorch.kr/about
</t>
  </si>
  <si>
    <t xml:space="preserve">- [x] PyTorch
- [x] vLLM
- [ ] DeepSpeed
- [ ] Ray
- [ ] Helion
- [ ] Safetensors
- [ ] Other
</t>
  </si>
  <si>
    <t>Presentations &amp; Publications
Co-presenter, "Occlusion-Aware Object Detection for Autonomous Robots Using Monocular Depth Estimation" — ML Collective Research Jam, April 2026
Poster accepted, WiML Symposium at ICML 2026: "A Stone Against Goliath: Beating Occlusion Without LiDAR on Resource-Constrained Robots"
Panelist, Africa Robotics Network Community Building Program — ICRA 2026, Vienna
Two acceptances (paper + poster) at IndabaX Nigeria 2026 (Deep Learning Indaba)
Recognition
WAAW FUTMinna Chapter: Best STEM Chapter of the Month, April 2026 — selected from 112 chapters across 29 African countries
IEEE RAS IDEA Travel Grant (ICRA 2026) — $3,300
ROSCon 2026 Diversity Scholarship — approx. $4,000
Portfolio:
https://honour-obed.netlify.app/</t>
  </si>
  <si>
    <t>Strong Recommend</t>
  </si>
  <si>
    <t>Exceptional record of PyTorch conference speaking, ExecuTorch education, 10+ events, large reach, and mentorship; the proposed program is credible and high-impact.</t>
  </si>
  <si>
    <t xml:space="preserve">Dongjun Min is an AI researcher, educator, and community leader based in South Korea who has contributed to the PyTorch ecosystem through technical education, community building, mentorship, and advocacy.
He has been actively using PyTorch since 2018 for both academic research and industrial AI development. During graduate studies, he conducted research on transformer-based long-term time-series forecasting, and he has continued working with PyTorch across multimodal AI, large language models, video understanding, speech technologies, and AI infrastructure systems.
Since January 2026, he has served as an organizer of the PyTorch Korea User Group (PyTorch KR), helping coordinate technical events, knowledge-sharing sessions, and networking opportunities for the local PyTorch community.
He is also an organizer of the vLLM KR, a practitioner-focused community centered around vLLM and large-scale AI inference systems.
The vLLM KR Community Meetup is organized approximately every one to two months by identifying companies actively using vLLM in production and inviting them to host technical events. Each meetup typically gathers 30–40 practitioners to discuss topics such as LLM serving, inference optimization, AI infrastructure, offloading techniques, and production deployment experiences.
Across PyTorch KR and vLLM-related community activities, he has helped organize events that attracted more than 490 registrations and over 240 attendees. One representative example was a recent vLLM KR Community Meetup hosted by Lablup, which received more than 85 applications for only 30 available seats and focused on vLLM offloading techniques, inference optimization, and the adoption of newly introduced vLLM features. He also served as a staff organizer for the 2026 vLLM Korea Meetup, supported by Rebellions.
Beyond community leadership, he is active in education and mentorship. In April 2026, he delivered a lecture and mentoring session at Sunchon National University titled "Why PyTorch Still Matters in the Age of Agentic AI." The session emphasized that even as higher-level AI frameworks and agentic abstractions become more common, PyTorch remains the foundational layer for model development, optimization, and deployment. It also provided students with a practical roadmap for AI engineering, spanning PyTorch fundamentals, model training, inference, and deployment.
Professionally, he works as an AI researcher developing multimodal AI systems, including large language models, video understanding systems, speech technologies, and multimedia AI applications.
He is currently helping organize PyTorch Day Korea, a PyTorch-focused community conference expected to bring together 200–300 participants from academia and industry. He is involved in CFP operations and program planning, helping build a platform for knowledge sharing across the Korean PyTorch ecosystem.
His contributions focus on building sustainable communities where practitioners can learn from one another, openly share knowledge, and contribute back to the broader PyTorch ecosystem. These efforts closely align with the Foundation's values of openness, collaboration, and community-driven innovation.
</t>
  </si>
  <si>
    <t xml:space="preserve">The nominee believes that strong local communities are essential to the long-term success of open-source AI ecosystems.
South Korea has become one of the most active regions for open-source AI development, large language model adoption, multimodal AI research, and inference infrastructure. However, there remains significant opportunity to expand awareness, education, and participation around PyTorch Foundation projects.
Through his work with PyTorch KR and vLLM KR, he has witnessed how community-driven education and knowledge sharing accelerate technology adoption and create pathways for students, researchers, and engineers to become active participants in open-source ecosystems.
As a PyTorch Foundation Ambassador, he hopes to strengthen the connection between the Korean AI community and the global PyTorch Foundation ecosystem. He aims to support this mission through community events, workshops, mentorship initiatives, educational content creation, and technical advocacy.
He is particularly interested in helping practitioners better understand and adopt technologies related to PyTorch, vLLM-based inference systems, multimodal AI, large-scale model serving, and open-source AI infrastructure.
Over the next two years, he hopes to expand PyTorch Foundation community activities throughout South Korea while helping local practitioners become more connected to the broader global open-source AI community.
</t>
  </si>
  <si>
    <t xml:space="preserve">As a PyTorch Foundation Ambassador, the nominee would focus on five primary areas.
1. Community Building
He would continue organizing PyTorch KR and vLLM KR community activities, including technical meetups, networking events, and practitioner-focused discussions. He would also continue identifying companies operating PyTorch Foundation technologies in production and encourage them to share their experiences with the broader community.
2. Technical Education and AI Infrastructure Advocacy
He would create workshops, technical talks, and educational content focused on PyTorch Foundation technologies, with particular emphasis on vLLM-based inference systems, LLM serving, multimodal AI infrastructure, and production AI deployments. He is especially interested in helping practitioners understand and adopt scalable inference architectures, on-premise and on-device AI systems, and emerging agentic AI workflows powered by open-source technologies.
3. Mentorship and Inclusion
He would continue mentoring students and early-career engineers while helping lower the barrier to entry for new contributors within the PyTorch ecosystem. He is particularly interested in supporting students and practitioners who are transitioning into AI engineering and open-source development.
4. Regional Community Growth
He would collaborate with universities, research labs, startups, and industry organizations throughout South Korea to expand awareness and participation in PyTorch Foundation projects.
5. Global Community Engagement
He would actively share lessons learned from the Korean AI ecosystem with the global PyTorch Foundation community, while introducing global best practices and technical developments to local practitioners.
Through PyTorch KR, vLLM KR, and PyTorch Day Korea, he aims to foster a community where practitioners can openly share real-world experience in building and serving AI systems on the PyTorch ecosystem, and to help establish a stronger bridge between PyTorch users, inference practitioners, and the broader open-source AI community across South Korea.
</t>
  </si>
  <si>
    <t xml:space="preserve">- [x] Community Building
- [x] Technical Education
- [ ] Open Source Contributions
- [x] Research &amp; Academia
- [x] Developer Advocacy
- [x] Mentorship
- [x] Events &amp; Workshops
- [x] Content Creation
- [x] Regional Community Growth
- [ ] Other
</t>
  </si>
  <si>
    <t xml:space="preserve">South Korea
</t>
  </si>
  <si>
    <t>Anmol-Shukla-20</t>
  </si>
  <si>
    <t xml:space="preserve">Anmol Shukla
</t>
  </si>
  <si>
    <t xml:space="preserve">Bharat Nagar Lucknow,Uttar Pradesh,India
</t>
  </si>
  <si>
    <t>Highlights
- Active PyTorch user since 2018
- Graduate research on transformer-based long-term time-series forecasting
- Organizer, PyTorch Korea User Group (2026–Present)
- Organizer, vLLM KR Community Meetup (vLLM is a PyTorch Foundation–hosted Platform Project)
- Staff Organizer, 2026 vLLM Korea Meetup (supported by Rebellions)
- Community events with 490+ registrations and 240+ attendees; representative event (vLLM KR × Lablup):
 85+ applications for 30 seats, covering vLLM offloading and production inference
- Speaker at multiple AI and infrastructure-related technical sessions
- Lecturer and Mentor, Sunchon National University (April 2026): "Why PyTorch Still Matters in the Age of Agentic AI"
- AI Researcher specializing in multimodal AI, video understanding, speech technologies, and LLM-based systems
- Co-organizer, PyTorch Day Korea (2026, expected 200–300 attendees) — CFP operations and program planning
Supporting Links
- Google Scholar: https://scholar.google.com/citations?user=axVAhPcAAAAJ&amp;hl=en
- GitHub: https://github.com/petanerd
- PyTorch Korea User Group: https://pytorch.kr/about/
- vLLM Korea Meetup (2026-04-02) Recap: https://kr.rebellions.ai/2026-vllm-korea-meetup/
- vLLM KR Community Meetup (2026-05-28) Recap: https://www.linkedin.com/feed/update/urn:li:activity:7465779105473613825/
Future Goals
- Expand PyTorch and vLLM community activity throughout South Korea
- Promote practical knowledge sharing on inference systems and AI infrastructure
- Support community discussions around agentic AI systems built on open-source technologies
- Expand awareness of on-device and edge AI applications powered by the PyTorch ecosystem
- Strengthen collaboration among academia, industry, and the open-source community
- Build stronger connections between Korean practitioners and the global PyTorch Foundation ecosystem</t>
  </si>
  <si>
    <t xml:space="preserve">1–2 years
</t>
  </si>
  <si>
    <t xml:space="preserve">https://github.com/Anmol-Shukla-20
</t>
  </si>
  <si>
    <t xml:space="preserve">https://www.linkedin.com/in/anmol-shukla-0294972b9
</t>
  </si>
  <si>
    <t xml:space="preserve">- [ ] Open source contributions
- [ ] Technical content creation
- [ ] Community leadership
- [x] Events or workshops
- [ ] Research or academic work
- [ ] Mentorship
- [x] University or student outreach
- [ ] Translation or localization efforts
- [ ] Other
</t>
  </si>
  <si>
    <t xml:space="preserve">While I have not yet contributed directly to PyTorch Foundation repositories through pull requests or official project maintenance, I actively use PyTorch for machine learning development, experimentation, and research-oriented projects. I have developed and maintained notebooks that utilize PyTorch for model training, evaluation, and deployment workflows, including projects built during AI and innovation hackathons. Through these projects, I have gained practical experience with neural networks, data processing pipelines, model optimization, and deep learning applications.
Beyond technical development, I have contributed to the broader AI and educational technology ecosystem through community leadership and event organization. As part of a 10-member organizing team, I helped coordinate and manage the **Virtual Labs Hackathon** organized by **Virtual Labs X Dayalbagh Educational Institute (DEI)**. The event encouraged student teams to design and develop innovative solutions in the form of Virtual Lab templates and interactive educational modules. Participating teams presented their solutions before a review panel, and the top three teams were awarded a three-month internship opportunity on campus, certificates of achievement, and a stipend of ₹15,000 for each winning team member.
**Responsibilities:**
My responsibilities included event planning, participant coordination, technical guidance, communication with teams, evaluation support, and ensuring the smooth execution of the hackathon. This experience strengthened my leadership, collaboration, and community-building skills.
In addition to hackathon participation and organization, I regularly build personal machine learning projects using PyTorch, explore emerging AI technologies, and share project work through GitHub repositories. These activities reflect my continued engagement with the open-source AI ecosystem and my commitment to expanding my future contributions to the PyTorch community.
**Supporting Links:**
this was the part of my hackathon submission conducted by Pytorch itself.
**GitHub Repository:** https://github.com/Anmol-Shukla-20/meta_pytorch_hackathon_Repo
**Hackathon/Event Link Conducted:** https://unstop.com/hackathons/dei-x-vlabs-hackathon-2026-dayalbagh-x-virtual-lab-hackathon-2026-dayalbagh-educational-institute-faculty-of--1629433.
</t>
  </si>
  <si>
    <t>ValexLaz</t>
  </si>
  <si>
    <t xml:space="preserve">Telassim Tammy Valentina Lazaro Quispe
</t>
  </si>
  <si>
    <t xml:space="preserve">My primary motivation for becoming a PyTorch Foundation Ambassador is to deepen my understanding of AI and Machine Learning while actively engaging with a global community of researchers, developers, and educators. PyTorch has been an important part of my learning journey, enabling me to build machine learning and deep learning projects, participate in hackathons, and explore real-world AI applications.
As a student passionate about AI/ML, I see the Ambassador Program as a unique opportunity to learn from experienced community members, industry professionals, and open-source contributors. I believe that interacting with experts and collaborating with fellow ambassadors will help me improve my technical skills, gain exposure to best practices in AI development, and better understand the open-source ecosystem.
Beyond personal growth, I am eager to contribute to the community by promoting AI education, encouraging students to explore PyTorch, supporting workshops and hackathons, and sharing knowledge gained through projects and practical experiences. Having previously been involved in organizing some technical events and hackathons, I understand the importance of building collaborative learning environments that help students and developers grow together.
Hence I belief that i am a good fit for this opportunity.
</t>
  </si>
  <si>
    <t xml:space="preserve">Santa Cruz, Bolivia
</t>
  </si>
  <si>
    <t xml:space="preserve">As a PyTorch Foundation Ambassador, I would contribute by promoting AI and Machine Learning education among students and aspiring developers through workshops, technical sessions, hackathons, and community-driven learning initiatives. Being actively involved in AI/ML projects, I can help beginners understand the fundamentals of deep learning and guide them in building practical applications using PyTorch.
I have previous experience organizing technical events and hackathons, including serving as part of a 10-member organizing team for the Virtual Labs Hackathon. This experience has equipped me with the skills to coordinate communities, engage participants, and create collaborative learning environments. As an Ambassador, I would leverage these skills to organize PyTorch-focused events, encourage student participation in open-source initiatives, and foster greater awareness of the PyTorch ecosystem.
I also plan to contribute through content creation by sharing project experiences, tutorials, learning resources, and best practices related to AI and PyTorch. I  would also love to conduct hackathons based on ML using Pytorch which would be a great experience for students and me as well. 
Hence I aim to help grow both the PyTorch ecosystem and the next generation of AI developers.
</t>
  </si>
  <si>
    <t xml:space="preserve">https://github.com/ValexLaz
</t>
  </si>
  <si>
    <t xml:space="preserve">- [x] Community Building
- [ ] Technical Education
- [x] Open Source Contributions
- [x] Research &amp; Academia
- [ ] Developer Advocacy
- [ ] Mentorship
- [ ] Events &amp; Workshops
- [ ] Content Creation
- [x] Regional Community Growth
- [ ] Other
</t>
  </si>
  <si>
    <t xml:space="preserve">https://www.linkedin.com/in/valentina-lazaro/
</t>
  </si>
  <si>
    <t xml:space="preserve">- [ ] Open source contributions
- [ ] Technical content creation
- [x] Community leadership
- [x] Events or workshops
- [x] Research or academic work
- [ ] Mentorship
- [ ] University or student outreach
- [ ] Translation or localization efforts
- [ ] Other
</t>
  </si>
  <si>
    <t>My contributions to the PyTorch ecosystem focus on the application, dissemination, and community engagement of AI technologies built on the PyTorch stack, particularly in educational and social impact contexts.
As an undergraduate researcher in Computer Systems Engineering, I developed a project titled “Intelligent System for Early Detection of Depression Risk in University Students.” The project integrates Natural Language Processing (NLP) techniques using pre-trained transformer models from the Hugging Face ecosystem, which rely on PyTorch as a primary deep learning framework. The system combines rule-based clinical assessment with sentiment analysis of student responses to support early identification of mental health risk factors in a university environment.
Beyond the technical implementation, I have actively shared knowledge about applied AI and responsible technology use through community leadership and educational initiatives. I serve as a community leader and have organized outreach activities that connect students and young professionals with opportunities in technology, artificial intelligence, and research.
One of the most significant recognitions of this work is my selection as a speaker at PyCon US 2026, where I presented the findings, methodology, and social impact of the depression risk detection project. Through this presentation, I demonstrated how PyTorch-based NLP tools can be leveraged to address real-world challenges in mental health, particularly in underrepresented regions and educational institutions.
My broader community contributions include:
• Organizing and supporting technology and leadership events for students and early-career professionals.
• Promoting responsible and ethical applications of artificial intelligence for social impact.
• Encouraging participation in open-source technologies and the Python ecosystem across Bolivia and Latin America.
• Supporting educational initiatives that increase access to knowledge for students with limited opportunities.
Supporting links:
• PyCon US 2026 Speaker Profile / Talk Page: https://us.pycon.org/2026/schedule/presentation/18/
•</t>
  </si>
  <si>
    <t>MilindDivre</t>
  </si>
  <si>
    <t xml:space="preserve">Milind Divre
</t>
  </si>
  <si>
    <t xml:space="preserve">Pune india 
</t>
  </si>
  <si>
    <t xml:space="preserve">I want to become a PyTorch Foundation Ambassador because I believe that artificial intelligence should be accessible, understandable, and impactful for communities everywhere, including regions that are often underrepresented in the global technology ecosystem.
As a Systems Engineering student from Bolivia, I have experienced firsthand how access to technology, mentorship, and global communities can transform opportunities for students and young professionals. Through my academic research, leadership roles, and community initiatives, I have worked to connect people with opportunities to learn, build, and apply technology to real-world challenges.
My interest in PyTorch goes beyond using it as a technical tool. I see PyTorch as one of the most important enablers of innovation in artificial intelligence, powering research, education, and practical solutions across the world. Through my work on an intelligent system for the early detection of depression risk in university students, I have explored how AI technologies can be applied to address meaningful social and health-related problems. This experience reinforced my belief that AI should be developed responsibly and used to improve people's lives.
Being selected as a speaker at PyCon US 2026 has further strengthened my commitment to sharing knowledge and making advanced technologies more approachable to broader audiences. I want to use the Ambassador role to amplify that impact by helping students, researchers, educators, and developers discover how PyTorch can support their own ideas and projects.
As a PyTorch Foundation Ambassador, I hope to:
• Promote AI education and awareness in Bolivia and Latin America.
• Organize talks, workshops, and community activities focused on practical applications of PyTorch.
• Support students and newcomers who are taking their first steps in machine learning and deep learning.
• Encourage ethical, responsible, and socially beneficial uses of artificial intelligence.
• Build stronger connections between local communities and the global PyTorch ecosystem.
My long-term goal is to help create a more inclusive AI community where talented individuals, regardless of geography or background, have access to the knowledge, tools, and networks needed to contribute and innovate. Becoming a PyTorch Foundation Ambassador would allow me to further that mission while giving back to the community that has inspired my own growth.
</t>
  </si>
  <si>
    <t xml:space="preserve">As a PyTorch Foundation Ambassador, I would focus on expanding access to AI education, strengthening local communities, and helping more students and early-career professionals engage with the PyTorch ecosystem.
My contribution would be centered on four key areas:
Community Building and Events: I plan to organize and support workshops, talks, study groups, and community events that introduce participants to PyTorch and its applications in machine learning, deep learning, and AI for social impact. Through my involvement in technology and leadership communities, I have experience bringing together students, researchers, and professionals around educational initiatives and collaborative learning opportunities.
Educational Outreach: One of my priorities would be creating accessible learning opportunities for people who may have limited exposure to AI technologies. I would develop beginner-friendly sessions, practical demonstrations, and educational content that help students understand not only how to use PyTorch, but also how to apply it to solve real-world problems.
Mentorship and Student Engagement: As a student leader and researcher, I enjoy supporting peers who are starting their journey in technology and research. As an Ambassador, I would mentor students interested in AI, guide them toward learning resources, encourage participation in open-source communities, and help them build confidence in contributing to technical projects.
Technical Advocacy and Responsible AI: My academic work has shown me the importance of applying technology responsibly. I would advocate for ethical and socially beneficial uses of AI while showcasing how PyTorch can be used to develop solutions that address challenges in healthcare, education, and community well-being.
In addition, I would leverage opportunities such as conference presentations, community partnerships, and educational initiatives to increase awareness of PyTorch Foundation projects and encourage broader participation from underrepresented regions, particularly in Bolivia and Latin America.
My goal is not only to help people learn PyTorch, but also to inspire them to use it as a tool for innovation, research, and positive social impact.
</t>
  </si>
  <si>
    <t>Recommend</t>
  </si>
  <si>
    <t xml:space="preserve">- [x] Community Building
- [x] Technical Education
- [ ] Open Source Contributions
- [x] Research &amp; Academia
- [x] Developer Advocacy
- [ ] Mentorship
- [x] Events &amp; Workshops
- [x] Content Creation
- [x] Regional Community Growth
- [ ] Other
</t>
  </si>
  <si>
    <t>Dongjun Min is a solid community organizer with verifiable leadership in PyTorch Korea and vLLM Korea communities, supported by documented events and clear engagement with PyTorch Foundation projects. The organizing work is real and valuable but relatively recent (7 months), and several impact claims (aggregate attendance, university lecture, speaking engagements) lack supporting verification links. The ambassador plan is realistic and grounded in proven track record but lacks exceptional detail or measurable targets.</t>
  </si>
  <si>
    <t xml:space="preserve">Latin America
</t>
  </si>
  <si>
    <t>Some event-organization experience and PyTorch project use, but no direct Foundation contribution and limited measurable PyTorch-specific impact; the plan remains broad.</t>
  </si>
  <si>
    <t xml:space="preserve">Bolivia
</t>
  </si>
  <si>
    <t xml:space="preserve">- [x] Open source contributions
- [x] Technical content creation
- [ ] Community leadership
- [x] Events or workshops
- [x] Research or academic work
- [ ] Mentorship
- [ ] University or student outreach
- [ ] Translation or localization efforts
- [ ] Other
</t>
  </si>
  <si>
    <t xml:space="preserve">Have written medium articles
</t>
  </si>
  <si>
    <t xml:space="preserve">Contribute to library 
</t>
  </si>
  <si>
    <t xml:space="preserve">Contribute to library and write medium article 
</t>
  </si>
  <si>
    <t xml:space="preserve">- [ ] Community Building
- [ ] Technical Education
- [x] Open Source Contributions
- [x] Research &amp; Academia
- [ ] Developer Advocacy
- [ ] Mentorship
- [ ] Events &amp; Workshops
- [ ] Content Creation
- [ ] Regional Community Growth
- [ ] Other
</t>
  </si>
  <si>
    <t>abdulhakkeempa</t>
  </si>
  <si>
    <t xml:space="preserve">Abdul Hakkeem P A
</t>
  </si>
  <si>
    <t xml:space="preserve">Kochi, Kerala, India
</t>
  </si>
  <si>
    <t xml:space="preserve">https://github.com/abdulhakkeempa
</t>
  </si>
  <si>
    <t xml:space="preserve">https://linkedin.com/in/abdul-hakkeem-pa
</t>
  </si>
  <si>
    <t xml:space="preserve">https://x.com/abdulhakkeempa
</t>
  </si>
  <si>
    <t xml:space="preserve">- [ ] Open source contributions
- [x] Technical content creation
- [x] Community leadership
- [x] Events or workshops
- [ ] Research or academic work
- [x] Mentorship
- [ ] University or student outreach
- [ ] Translation or localization efforts
- [ ] Other
</t>
  </si>
  <si>
    <t xml:space="preserve">My contributions to the PyTorch Foundation ecosystem have primarily focused on advancing education, adoption, and production deployment of large-scale AI systems built on PyTorch and PyTorch Foundation projects, particularly vLLM.
Over the past few years, I have actively shared practical knowledge on deploying, optimizing, and scaling large language model (LLM) workloads in real-world environments. My work has focused on helping developers, students, platform engineers, and organizations bridge the gap between research models and production-grade AI systems.
 Technical Advocacy and Community Education
A significant part of my contribution has been educating the community on efficient LLM inference and serving infrastructure built on the PyTorch ecosystem.
**1. Kubernetes Community Day Kochi 2026**
**Talk:** *From Pods to Production: Serving LLMs on Kubernetes with KServe + vLLM*
In this session, I demonstrated how PyTorch-based language models can be deployed and served efficiently using vLLM and KServe on Kubernetes. The talk covered production architecture, autoscaling considerations, inference optimization, and operational best practices for serving large models at scale.
Supporting materials:
* [Talk Slides](https://docs.google.com/presentation/d/e/2PACX-1vQzg5y0hu55xIhNbL_mEm1wErJETe8qbONWq2eU-ssc2C6v9IwFCEBnj3jU-TAjjLLctvtA3gVpuB4x/pub?start=false&amp;loop=false&amp;delayms=3000)
**2. UbuCon India 2025**
**Talk:** *Optimising LLM Inference on Resource-Constrained Hardware*
This session focused on vLLM optimization techniques for environments with limited compute resources. The talk explored memory optimization, throughput improvements, KV cache management, quantization considerations, and deployment strategies that make modern LLMs more accessible to developers and organizations with constrained infrastructure.
Supporting materials:
*  [Video Recording](https://www.youtube.com/watch?v=AXYZLHoKIss)
*  [Talk Slides](https://events.canonical.com/event/136/contributions/814/attachments/449/723/Ubucon%20India%202025%20-%20LLM%20Inference%20Optimisation.pdf)
 Promoting Production Adoption of PyTorch Ecosystem Technologies
My technical work and community engagement consistently emphasize practical adoption of PyTorch Foundation technologies in production environments.
Areas I regularly advocate for include:
* Efficient LLM inference using vLLM
* Production deployment patterns for PyTorch-based models
* Kubernetes-native AI infrastructure
* Cost and resource optimization for model serving
* Open-source AI tooling and ecosystem interoperability
* MLOps best practices for serving and monitoring AI workloads
By sharing implementation experiences, deployment architectures, and optimization techniques, I help practitioners move from experimentation to reliable production deployments.
 Community Engagement and Knowledge Sharing
Beyond conference presentations, I actively participate in technical communities through workshops, talks, mentoring discussions, blog content, and open knowledge sharing. My goal is to lower the barrier to entry for engineers who want to deploy and scale PyTorch-based AI systems.
I have delivered more than 10 technical workshops and invited talks across universities and developer communities, helping students and early-career engineers gain exposure to modern AI infrastructure, machine learning systems, and open-source technologies.
 Impact
* Delivered talks at major community conferences including Kubernetes Community Day Kochi and UbuCon India.
* Contributed to awareness and adoption of vLLM-based inference serving architectures.
* Educated developers on production deployment patterns for PyTorch-powered AI workloads.
* Reached audiences consisting of students, software engineers, DevOps practitioners, platform engineers, and AI practitioners through conference talks and community events.
* Supported knowledge transfer around efficient, scalable, and cost-effective AI infrastructure.
As a PyTorch Foundation Ambassador, I aim to further expand these efforts by creating educational content, organizing community sessions, mentoring developers entering the ecosystem, and advocating for PyTorch Foundation projects in both academic and industry communities.
</t>
  </si>
  <si>
    <t xml:space="preserve">I want to become a PyTorch Foundation Ambassador because I believe one of the biggest challenges in AI today is helping developers move from experimentation to production. PyTorch and PyTorch Foundation projects such as vLLM have become foundational technologies for building and serving modern AI applications, yet many developers still face challenges in understanding how to deploy, optimize, and scale them effectively.
Through my conference talks, workshops, technical content, and open-source projects, I have focused on making production AI systems more accessible to the broader community. Becoming a PyTorch Foundation Ambassador would allow me to expand these efforts, collaborate more closely with the community, and help accelerate the adoption of PyTorch Foundation projects across universities, developer communities, and industry practitioners.
I am particularly motivated by the opportunity to connect AI research with real-world engineering practices, enabling more developers to successfully build, deploy, and operate PyTorch-powered applications at scale.
</t>
  </si>
  <si>
    <t xml:space="preserve">As a PyTorch Foundation Ambassador, I would focus on technical advocacy, education, and community growth around PyTorch Foundation projects, particularly in the areas of LLM serving, inference optimization, and production AI infrastructure.
My planned contributions include:
* Delivering conference talks, workshops, and community sessions focused on PyTorch Foundation technologies such as vLLM and production model serving.
* Creating educational content, tutorials, reference architectures, and open-source examples that help developers deploy and scale AI workloads.
* Mentoring students and early-career engineers who are entering the AI and open-source ecosystem.
* Collaborating with local developer communities, universities, and technology meetups to increase awareness and adoption of PyTorch Foundation projects.
* Sharing real-world operational experiences, best practices, and optimization techniques that help organizations run PyTorch-based AI systems more efficiently.
My goal is to help build a stronger bridge between the PyTorch ecosystem and practitioners who are deploying AI systems in production, while growing an inclusive and technically strong community around PyTorch Foundation projects.
</t>
  </si>
  <si>
    <t xml:space="preserve">- [x] Community Building
- [x] Technical Education
- [x] Open Source Contributions
- [ ] Research &amp; Academia
- [x] Developer Advocacy
- [ ] Mentorship
- [ ] Events &amp; Workshops
- [ ] Content Creation
- [ ] Regional Community Growth
- [ ] Other
</t>
  </si>
  <si>
    <t xml:space="preserve">Parichay demonstrates strong, verifiable engagement with the PyTorch ecosystem through conference speaking (2025/2026), program committee membership, and an ExecuTorch learning plan on ARM's platform. Substantial broader community leadership (ARM Distinguished Ambassador, ex-Community Lead for major tech organizations, 20+ events, 6 university guest lectures) and communication skills (keynote speaker, certified instructor, published researcher). While the ambassador plan is realistic given his track record, it lacks the concrete specifics and measurable goals needed for the highest scores. </t>
  </si>
  <si>
    <t>Strong production-focused vLLM/PyTorch advocacy with multiple talks and 10+ workshops; clear, practical plan for education and adoption.</t>
  </si>
  <si>
    <t>amudaakindele</t>
  </si>
  <si>
    <t>balasu</t>
  </si>
  <si>
    <t xml:space="preserve">Balasundaram Natarajan
</t>
  </si>
  <si>
    <t xml:space="preserve">Kamorudeen Akindele Amuda
</t>
  </si>
  <si>
    <t xml:space="preserve">Bangalore,India
</t>
  </si>
  <si>
    <t xml:space="preserve">Maryland, USA
</t>
  </si>
  <si>
    <t>Subinthapa2092</t>
  </si>
  <si>
    <t xml:space="preserve">https://github.com/balasu
</t>
  </si>
  <si>
    <t xml:space="preserve">Subin Thapa
</t>
  </si>
  <si>
    <t xml:space="preserve">Kathmandu, Bagmati, Nepal
</t>
  </si>
  <si>
    <t xml:space="preserve">https://github.com/amudaakindele
</t>
  </si>
  <si>
    <t xml:space="preserve">https://www.linkedin.com/in/balasundaram-n-43471115/
</t>
  </si>
  <si>
    <t xml:space="preserve">https://github.com/Subinthapa2092
</t>
  </si>
  <si>
    <t xml:space="preserve">- [x] PyTorch
- [ ] vLLM
- [ ] DeepSpeed
- [x] Ray
- [ ] Helion
- [ ] Safetensors
- [ ] Other
</t>
  </si>
  <si>
    <t xml:space="preserve">https://www.linkedin.com/in/subinthapa
</t>
  </si>
  <si>
    <t xml:space="preserve">https://x.com/subinthapadev
</t>
  </si>
  <si>
    <t xml:space="preserve">- [x] Open source contributions
- [ ] Technical content creation
- [ ] Community leadership
- [ ] Events or workshops
- [ ] Research or academic work
- [ ] Mentorship
- [ ] University or student outreach
- [ ] Translation or localization efforts
- [x] Other
</t>
  </si>
  <si>
    <t xml:space="preserve">https://www.linkedin.com/in/amudakamorudeen/
</t>
  </si>
  <si>
    <t xml:space="preserve">I am passionate about scaling AI education and recently contributed as a Subject Matter Expert to the development of the PyTorch Foundation’s official PyTorch Certified Associate (PTCA) exam. Working alongside Linux Foundation Education, I help authored evaluation items, and reviewed competencies to create a robust certification path that bridges the gap between academic machine learning concepts and real-world PyTorch workflows
</t>
  </si>
  <si>
    <t xml:space="preserve">- [ ] Open source contributions
- [x] Technical content creation
- [x] Community leadership
- [ ] Events or workshops
- [x] Research or academic work
- [ ] Mentorship
- [x] University or student outreach
- [ ] Translation or localization efforts
- [ ] Other
</t>
  </si>
  <si>
    <t xml:space="preserve">https://scholar.google.com/citations?hl=en&amp;user=AQeqQgsAAAAJ
</t>
  </si>
  <si>
    <t xml:space="preserve">My motivation to become a PyTorch Foundation Ambassador stems from a deep belief in democratic, accessible AI education. Over the past few years, PyTorch has been my framework of choice due to its pythonic nature and vibrant community. Contributing to the PTCA exam development allowed me to help shape how skills are validated globally; as an Ambassador, I want to take the next logical step by actively cultivating those skills on the ground.
</t>
  </si>
  <si>
    <t xml:space="preserve">I am a Data Science student from Nepal who is actively building and sharing knowledge in machine learning, data science, and Python programming.
I contribute to the community through technical content creation, student outreach, and community engagement. Through my learning platform, "Coding with Subin," I share educational resources, programming tutorials, and data science concepts with students and beginners. I have also been involved with data science student communities, helping learners discover AI, machine learning, and open-source technologies.
My contributions include:
* Publishing technical articles and educational content related to data science and machine learning.
* Sharing learning resources and tutorials with students and beginner developers.
* Building public programming and data science projects on GitHub.
* Encouraging students to explore AI and open-source technologies.
* Participating in academic learning and research activities related to data science.
Supporting Links:
* GitHub : https://github.com/Subinthapa2092
* LinkedIn : https://www.linkedin.com/in/subinthapa
* Medium : https://medium.com/@subinthapa2092
* YouTube : https://www.youtube.com/@codingwithsubin
As I continue my AI journey, I am expanding my knowledge of PyTorch and deep learning while working to grow technical education and community engagement in Nepal.
</t>
  </si>
  <si>
    <t xml:space="preserve">writing/speaking at regional events about production-level PyTorch capabilities, including inference optimization and distributed computing
</t>
  </si>
  <si>
    <t xml:space="preserve">I want to become a PyTorch Foundation Ambassador because I believe AI education should be accessible to students everywhere, including emerging communities such as Nepal.
As a Data Science student, PyTorch is one of the most important technologies I am learning for machine learning and deep learning. Becoming an Ambassador would allow me to connect with a global network of contributors, learn from experienced community leaders, and help more students discover PyTorch and open-source AI technologies.
My goal is to support technical education, encourage student participation in AI, and help grow awareness of PyTorch within universities and local developer communities. I am excited about the opportunity to learn, contribute, and represent the PyTorch community while helping others begin their AI journey.
</t>
  </si>
  <si>
    <t xml:space="preserve">- [ ] Community Building
- [x] Technical Education
- [x] Open Source Contributions
- [x] Research &amp; Academia
- [ ] Developer Advocacy
- [ ] Mentorship
- [ ] Events &amp; Workshops
- [ ] Content Creation
- [x] Regional Community Growth
- [ ] Other
</t>
  </si>
  <si>
    <t xml:space="preserve">As a PyTorch Foundation Ambassador, I would focus on technical education, community building, and student outreach.
My planned contributions include:
* Creating beginner-friendly PyTorch tutorials, articles, and educational content.
* Organizing learning sessions, workshops, and study groups for students.
* Promoting open-source learning and participation in AI communities.
* Supporting students who are starting their journey in machine learning and deep learning.
* Sharing PyTorch updates, resources, and best practices with local communities.
* Helping expand awareness of PyTorch within Nepal's student and developer ecosystem.
I aim to build a stronger bridge between students, educators, and the global PyTorch community while encouraging more people to explore AI through open-source technologies.
</t>
  </si>
  <si>
    <t xml:space="preserve">- [x] Community Building
- [x] Technical Education
- [ ] Open Source Contributions
- [x] Research &amp; Academia
- [x] Developer Advocacy
- [ ] Mentorship
- [ ] Events &amp; Workshops
- [x] Content Creation
- [x] Regional Community Growth
- [ ] Other
</t>
  </si>
  <si>
    <t xml:space="preserve">Nepal
</t>
  </si>
  <si>
    <t>Additional Information
I am a Data Science student from Nepal actively learning machine learning, deep learning, and open-source tools. I am currently building my skills in Python and PyTorch while sharing my learning journey through educational content and student outreach.
I run a learning initiative called "Coding with Subin," where I share programming and data science concepts to help beginners understand core topics in a simple way. I also engage with student communities where I support peers in learning Python, machine learning, and data science fundamentals.
Some of my work includes:
* Writing technical blogs and learning-based articles (e.g., machine learning concepts like clustering algorithms)
* Sharing educational content for beginners in programming and data science
* Building small Python and data science projects on GitHub
* Participating in student-based learning and discussion groups
I am currently expanding my knowledge in PyTorch and deep learning with the goal of contributing more to the open-source AI ecosystem in the future. My focus is on building educational resources and supporting students in Nepal to explore AI and machine learning.</t>
  </si>
  <si>
    <t xml:space="preserve">I am a Ph.D. student in Information Technology at Towson University with a research focus on machine learning, deep learning, federated learning, multimodal AI, and trustworthy AI for healthcare. My work relies extensively on the PyTorch ecosystem for developing scalable deep learning models for medical imaging, natural language processing, computer vision, and distributed learning systems. I am committed to advancing open-source AI through research, education, mentorship, and community engagement.
For more than eight years, I have actively contributed to AI and open-source communities across academia and industry. I served as a Facilitator and Technical Support Assistant for AI Saturday Ibadan, where I delivered technical sessions and introduced students and professionals to practical deep learning and PyTorch workflows. I also served as a Facilitator and Technical Support Assistant for the Machine Learning Group, University of Ibadan, supporting hands-on learning and collaborative AI research initiatives.
Within the IEEE University of Ibadan Student Branch, I served as Technical Support Assistant and Public Relations Officer (PRO), helping organize technical events, workshops, and community outreach programs that promoted emerging technologies, including machine learning and artificial intelligence. I was also a Co-Organizer of the Neural Information Processing Systems (NeurIPS) Conference at the University of Ibadan and the Web and Internet Economics (WINE) Conference, contributing to knowledge sharing and research engagement within the academic community.
In addition to local communities, I mentor aspiring AI researchers through Black in AI Emerging Leaders in AI (ELAI), the Code2040 Fellows Program, and the Machine Learning for Healthcare (ML4H) Reviewer Mentorship Program. I also volunteer as a judge for the Morgan State University Science, Mathematics, and Engineering Fair, supporting the next generation of STEM innovators.
My research contributions include peer-reviewed publications in healthcare AI and machine learning, and I serve as a reviewer for leading AI journals and conferences. Through teaching, mentorship, workshops, and research, I have helped hundreds of students and early-career researchers develop practical skills in deep learning and open-source AI.
I believe PyTorch is more than a framework—it is the foundation of a global collaborative ecosystem that democratizes AI innovation. As a contributor, educator, and researcher, I have consistently advocated for reproducible research, open-source collaboration, and accessible AI education, making me well-positioned to represent the PyTorch Foundation as an Ambassador.
Supporting Links
GitHub: https://github.com/amudaakindele
LinkedIn: https://www.linkedin.com/in/amudakamorudeen/
Google Scholar: https://scholar.google.com/citations?hl=en&amp;user=AQeqQgsAAAAJ
Algorithms 2025 Publication: https://doi.org/10.3390/a18070413
</t>
  </si>
  <si>
    <t>Promising beginner content and Nepal outreach, but current PyTorch engagement and impact are still emerging and the proposed activities are mostly aspirational.</t>
  </si>
  <si>
    <t xml:space="preserve">PyTorch has been the backbone of my research and educational activities, enabling me to develop deep learning solutions for healthcare, multimodal learning, computer vision, and federated AI. Becoming a PyTorch Foundation Ambassador would allow me to give back to the community that has significantly shaped my academic and professional journey.
My motivation is to expand access to high-quality AI education, particularly in emerging and underrepresented communities, while strengthening the connection between academia, industry, and open-source development. I want to inspire more students, researchers, and developers to contribute to PyTorch projects, adopt reproducible research practices, and build impactful AI solutions that benefit society.
Having organized workshops, mentored researchers, taught machine learning courses, and contributed to AI communities through AI Saturday, IEEE, Black in AI, and ML4H, I understand the importance of community-driven innovation. As a PyTorch Ambassador, I hope to amplify these efforts globally and help grow a more inclusive and collaborative AI ecosystem.
</t>
  </si>
  <si>
    <t xml:space="preserve">This nominee's application rests entirely on a single unverified claim of contributing to PTCA exam development, with no supporting documentation, no visible PyTorch activity on GitHub, and no demonstrated community engagement or technical communication track record. </t>
  </si>
  <si>
    <t xml:space="preserve">As a PyTorch Foundation Ambassador, I would focus on technical education, community building, mentorship, and research advocacy.
I plan to organize PyTorch workshops, study groups, and hands-on tutorials for students and early-career researchers, particularly within universities and AI communities in Africa and North America. I would create educational content covering deep learning, computer vision, natural language processing, multimodal AI, and distributed learning using PyTorch, making advanced AI concepts more accessible to a wider audience.
I would also leverage my experience as an educator, researcher, reviewer, and mentor to encourage open-source contributions, support new contributors, and promote collaboration between academia and industry. Through AI Saturday, IEEE communities, university outreach programs, and mentorship initiatives, I aim to expand the PyTorch ecosystem by fostering inclusive participation and empowering the next generation of AI innovators.
My long-term vision is to build stronger regional AI communities connected through open-source collaboration, where PyTorch serves as the platform for education, research, innovation, and societal impact.
</t>
  </si>
  <si>
    <t xml:space="preserve">- [x] Community Building
- [x] Technical Education
- [x] Open Source Contributions
- [x] Research &amp; Academia
- [x] Developer Advocacy
- [x] Mentorship
- [x] Events &amp; Workshops
- [x] Content Creation
- [x] Regional Community Growth
- [x] Other
</t>
  </si>
  <si>
    <t xml:space="preserve">United States
</t>
  </si>
  <si>
    <t>stevenkayitaresteven</t>
  </si>
  <si>
    <t>yurekami</t>
  </si>
  <si>
    <t xml:space="preserve">KAYITARE STEVEN
</t>
  </si>
  <si>
    <t xml:space="preserve">Daniel Kang
</t>
  </si>
  <si>
    <t xml:space="preserve">South korea,sokcho
</t>
  </si>
  <si>
    <t xml:space="preserve">3–5 years
</t>
  </si>
  <si>
    <t xml:space="preserve">Singapore
</t>
  </si>
  <si>
    <t>My contributions extend beyond research and software development to technical education, open-source advocacy, and community engagement. I believe that AI innovation is accelerated through knowledge sharing, mentorship, and accessible educational resources.
I have served as a Facilitator and Technical Support Assistant for AI Saturdays Ibadan, Facilitator for the Machine Learning Group at the University of Ibadan, and Technical Support Assistant/Public Relations Officer for the IEEE University of Ibadan Student Branch, where I organized workshops, delivered technical sessions, and introduced students and professionals to machine learning and deep learning using open-source frameworks such as PyTorch.
I actively contribute to the AI community through technical writing and educational content. My article, "Machine Learning on AWS in Healthcare: Practical Foundations for Secure and Scalable Health Intelligence," explores the application of cloud computing and machine learning in healthcare and is available at:
https://www.medreport.foundation/post/machine-learning-on-aws-in-healthcare-practical-foundations-for-secure-and-scalable-health-intelli
I also authored "Breaking into the Cloud: A Beginner's Journey with AWS," which provides practical guidance for newcomers interested in cloud computing and AI development:
https://builder.aws.com/content/2wWVbGUWqW1JnicqoJGzNJAxSah/breaking-into-the-cloud-a-beginners-journey-with-aws
In addition to the content creation, I mentor aspiring AI researchers through Black in AI Emerging Leaders in AI (ELAI), Code2040 Fellows Program, and the Machine Learning for Healthcare (ML4H) Reviewer Mentorship Program. I also serve as a peer reviewer for leading AI journals and conferences and have published research in healthcare AI, computer vision, and machine learning.
Additional resources:
GitHub: https://github.com/amudaakindele
Google Scholar: https://scholar.google.com/citations?hl=en&amp;user=AQeqQgsAAAAJ
LinkedIn: https://www.linkedin.com/in/amudakamorudeen/
ORCID: https://orcid.org/0000-0001-9325-5408
As a PyTorch Foundation Ambassador, I will leverage my experience in research, education, mentorship, and community leadership to organize workshops, create open educational resources, mentor contributors, and strengthen the PyTorch ecosystem by expanding access to AI education and open-source collaboration across academia and industry.</t>
  </si>
  <si>
    <t xml:space="preserve">https://github.com/stevenkayitaresteven/pytorch
</t>
  </si>
  <si>
    <t xml:space="preserve">https://github.com/aerlabsAI
</t>
  </si>
  <si>
    <t xml:space="preserve">https://www.linkedin.com/in/kayitare-steven-8151a32a3/
</t>
  </si>
  <si>
    <t>ayushmorbar</t>
  </si>
  <si>
    <t xml:space="preserve">https://www.linkedin.com/company/aer-labs
</t>
  </si>
  <si>
    <t xml:space="preserve">Ayush Morbar
</t>
  </si>
  <si>
    <t xml:space="preserve">https://aerlabs.tech/research/int8tensor-torchao
</t>
  </si>
  <si>
    <t xml:space="preserve">Gwalior, Madhya Pradesh, India
</t>
  </si>
  <si>
    <t xml:space="preserve">- [x] Open source contributions
- [x] Technical content creation
- [ ] Community leadership
- [ ] Events or workshops
- [ ] Research or academic work
- [ ] Mentorship
- [x] University or student outreach
- [ ] Translation or localization efforts
- [ ] Other
</t>
  </si>
  <si>
    <t xml:space="preserve">- [x] PyTorch
- [x] vLLM
- [x] DeepSpeed
- [x] Ray
- [ ] Helion
- [ ] Safetensors
- [ ] Other
</t>
  </si>
  <si>
    <t xml:space="preserve">https://github.com/ayushmorbar
</t>
  </si>
  <si>
    <t xml:space="preserve">I am an Artificial Intelligence student, open-source contributor, and AI builder currently pursuing a degree in Artificial Intelligence in South Korea. My work focuses on machine learning, deep learning, computer vision, natural language processing, multimodal AI systems, and responsible AI applications built with PyTorch.
My contributions to the PyTorch ecosystem center around three areas: technical development, AI education, and community advocacy.
Technical Contributions
I actively maintain a public PyTorch-focused repository that documents my exploration, experimentation, and practical implementation of PyTorch concepts, including tensors, neural networks, deep learning workflows, and modern AI development practices.
Repository:
https://github.com/stevenkayitaresteven/pytorch
Through this repository, I continuously strengthen my understanding of PyTorch while sharing code, experiments, and learning resources that can help other students and aspiring AI engineers learn the framework.
In addition, I developed Sentinel Chat, a multimodal AI moderation platform that demonstrates practical AI system design and deployment. The project supports moderation across multiple content types, including text, images, video, audio, and files, showcasing the type of real-world AI applications that PyTorch enables.
Project:
https://huggingface.co/spaces/Kstevo34/sentinel-chat
The system was designed to address modern AI safety challenges by providing content moderation capabilities across multiple modalities while demonstrating the integration of deep learning and AI deployment workflows.
Education and Knowledge Sharing
Beyond technical development, I dedicate significant time to learning and sharing knowledge about machine learning, deep learning, computer vision, natural language processing, transformers, large language models, and multimodal AI.
As an AI student, I regularly assist fellow learners by explaining PyTorch concepts, neural network fundamentals, model training workflows, and practical AI development techniques. I strongly advocate for hands-on learning through open-source projects and reproducible experimentation.
Community Advocacy
As a student originally from Rwanda and currently studying in South Korea, I am passionate about increasing participation in the global AI and open-source ecosystem among students from underrepresented regions.
I actively promote PyTorch as a powerful and accessible framework for learning deep learning and building production-ready AI systems. My long-term goal is to help bridge educational opportunities between African AI communities and the broader international PyTorch ecosystem.
Future Ambassador Impact
If selected as a PyTorch Foundation Ambassador, I plan to:
• Create PyTorch tutorials and educational content for beginners and intermediate learners.
• Organize virtual learning sessions and study groups.
• Mentor students entering AI and deep learning.
• Promote PyTorch adoption among university students.
• Contribute additional open-source projects and educational resources.
• Help connect African and Asian AI communities with the global PyTorch ecosystem.
Supporting Links
PyTorch Repository:
https://github.com/stevenkayitaresteven/pytorch
Sentinel Chat (Multimodal AI Project):
https://huggingface.co/spaces/Kstevo34/sentinel-chat
I believe strongly in the PyTorch Foundation's values of openness, collaboration, accessibility, and community-driven innovation. Through continued technical contributions, educational outreach, and mentorship, I aim to help expand the global impact of the PyTorch ecosystem.
</t>
  </si>
  <si>
    <t xml:space="preserve">https://www.linkedin.com/in/ayushmorbar
</t>
  </si>
  <si>
    <t xml:space="preserve">My motivation for becoming a PyTorch Foundation Ambassador comes from my belief that open-source AI has the power to transform lives and create opportunities for people everywhere, regardless of their background or location.
As an Artificial Intelligence student from Rwanda currently studying in South Korea, I have personally experienced how access to open-source technologies such as PyTorch can accelerate learning, research, and innovation. PyTorch has been one of the most important tools in my AI journey, enabling me to explore machine learning, deep learning, computer vision, natural language processing, multimodal AI, and responsible AI development.
I want to become a PyTorch Foundation Ambassador because I am passionate about helping others discover the same opportunities that PyTorch has provided to me. Through my PyTorch-focused GitHub repository and AI projects such as Sentinel Chat, I actively apply PyTorch concepts to real-world problems and demonstrate how open-source AI can be used to build impactful applications.
One of my long-term goals is to increase awareness and adoption of PyTorch among students, aspiring AI engineers, and underrepresented communities, particularly in Africa. I want to help bridge the gap between learners who are eager to enter AI and the resources, mentorship, and communities that can support their growth.
As a PyTorch Foundation Ambassador, I would focus on creating educational content, sharing practical learning resources, mentoring new learners, organizing community activities, and promoting open-source collaboration. I believe that knowledge becomes more valuable when it is shared, and I am committed to helping others learn how to use PyTorch effectively for research, innovation, and real-world AI development.
I am also excited about the opportunity to connect local communities with the global PyTorch ecosystem. By serving as an Ambassador, I hope to contribute to the PyTorch Foundation's mission of advancing open, collaborative, and accessible AI while helping build stronger connections between students, researchers, developers, and educators around the world.
Ultimately, I want to become a PyTorch Foundation Ambassador because I see it as an opportunity to give back to the community that has played a major role in my growth, while helping inspire and support the next generation of AI practitioners.
</t>
  </si>
  <si>
    <t xml:space="preserve">As a PyTorch Foundation Ambassador, I would contribute by combining technical advocacy, educational outreach, mentorship, and community building to help expand the global PyTorch ecosystem.
One of my primary goals would be to increase PyTorch adoption among students and aspiring AI engineers, particularly in underrepresented communities. As an Artificial Intelligence student from Rwanda currently studying in South Korea, I have experienced firsthand how access to open-source technologies can transform learning opportunities. I want to help more students discover and successfully use PyTorch for research, learning, and real-world AI development.
I plan to contribute in the following ways:
Educational Content Creation
I will create beginner-friendly and intermediate-level learning resources focused on PyTorch, deep learning, computer vision, natural language processing, multimodal AI, and responsible AI development. These resources may include tutorials, project walkthroughs, technical articles, coding demonstrations, and practical learning guides designed to help new users gain confidence with PyTorch.
Community Building and Outreach
I aim to build stronger connections between AI learners, researchers, and developers by promoting PyTorch within university communities and online learning communities. I would actively encourage participation in open-source projects and help introduce new contributors to the PyTorch ecosystem.
Mentorship and Student Support
I am passionate about helping others learn. As an Ambassador, I would mentor students who are beginning their journey in machine learning and deep learning by sharing practical guidance, learning strategies, and project-based experiences. I want to help reduce barriers for newcomers and create a welcoming environment for learning and collaboration.
Technical Advocacy
Through my PyTorch repository and AI projects such as Sentinel Chat, I demonstrate practical applications of PyTorch in solving real-world problems. I will continue building and sharing PyTorch-based projects that showcase modern AI capabilities, including multimodal systems, computer vision applications, and language technologies.
Community Events and Learning Sessions
I plan to organize virtual study sessions, technical discussions, project showcases, and educational workshops that introduce PyTorch concepts and best practices. These activities would help learners gain hands-on experience while connecting with other members of the community.
Global Representation and Inclusion
I would use my unique perspective as an African student studying AI in South Korea to help strengthen connections between regional AI communities and the broader global PyTorch ecosystem. I believe diverse communities bring valuable perspectives, and I am committed to promoting openness, inclusion, collaboration, and knowledge sharing.
Through these efforts, I hope to help grow PyTorch Foundation projects and communities while empowering more learners, developers, and researchers to contribute to the future of open-source AI.
</t>
  </si>
  <si>
    <t xml:space="preserve">- [x] Open source contributions
- [x] Technical content creation
- [x] Community leadership
- [x] Events or workshops
- [x] Research or academic work
- [x] Mentorship
- [x] University or student outreach
- [ ] Translation or localization efforts
- [ ] Other
</t>
  </si>
  <si>
    <t xml:space="preserve">SOUTH KOREA
</t>
  </si>
  <si>
    <t xml:space="preserve">Nominee: Daniel Kang — Founder &amp; CEO, AER Labs
Daniel Kang is the founder and CEO of AER Labs, an open-source AI research institute, and a community builder for the PyTorch ecosystem across the Asia-Pacific region. His contributions to the PyTorch Foundation span three areas: community leadership and event organization, upstream technical contributions to Foundation projects, and the mentorship of researchers whose work lands in the PyTorch codebase.
1. Community leadership and events. 
Daniel was a co-organizer of the inaugural PyTorch Meetup Singapore, hosted at Red Hat's Asia-Pacific office — the first community gathering of its kind in Southeast Asia. Working alongside organizers Sudhir Dharanendraiah, Ayush Satyam, and Sumantro Mukherjee of Red Hat, he helped bring together AI practitioners, researchers, and community builders for an evening of technical talks covering inference, distributed training, continuous integration, community governance, and AI sovereignty. The event drew close to a hundred attendees and featured six speakers from four organizations, and it was documented on the official PyTorch Foundation blog. The program ranged from a new Rust frontend for vLLM and an omni-modal serving platform to a deep-dive on torch.compile across a dozen ecosystem projects and a session on PyTorch's CI infrastructure and governance — establishing a recurring foundation for technically serious PyTorch community events in the region.
2. Technical contributions and mentorship. 
As founder of AER Labs, Daniel leads and mentors a team of researchers whose work is contributed upstream into PyTorch Foundation projects. Under his direction, AER Labs contributed Int8Tensor to PyTorch's TorchAO library — a quantized tensor subclass that enables INT8 inference for neural networks, reducing memory footprint by up to 4× and supporting both dynamic activation quantization and weight-only quantization. The work was merged through PR #3391 and is accompanied by a detailed public research report documenting its five-iteration design evolution — high-level Granularity abstractions, reuse of validated TorchAO primitives, and hardware-aware kernel selection. AER Labs has also made merged contributions to vLLM, itself a PyTorch Foundation project, along with the broader inference and RL post-training stack.
3. Advocacy. 
Through AER Labs and his work in the Singapore–Malaysia corridor, Daniel advocates for open-source AI and for the Asia-Pacific region's shift from a consumer of AI infrastructure to an architect of it — a theme that anchored the Singapore meetup and that AER Labs advances through its public research output.
Measurable impact
- Co-organized the inaugural PyTorch Meetup Singapore (~100 attendees, 6 speakers across 4 organizations), the first in a planned recurring series for the region.
- Mentored AER Labs researchers to land an upstream contribution to PyTorch's TorchAO library (PR #3391), paired with a published technical research report.
- Directs AER Labs, an open-source institute of 60+ researchers, channeling contributions into PyTorch Foundation projects including TorchAO and vLLM.
Supporting links
- PyTorch Foundation blog — PyTorch Meetup Singapore: A Milestone in APAC: https://pytorch.org/blog/pytorch-meetup-singapore-a-milestone-in-apac/
- PyTorch official post (X): https://x.com/PyTorch/status/2065434192402419736
- Event page (Luma): https://luma.com/8scaib4z
- LinkedIn post: https://www.linkedin.com/feed/update/urn:li:activity:7471367722275258368/
- TorchAO contribution — Int8Tensor research report (AER Labs): https://aerlabs.tech/research/int8tensor-torchao
- TorchAO PR #3391: https://github.com/pytorch/ao/pull/3391
</t>
  </si>
  <si>
    <t xml:space="preserve">Daniel's motivation starts from a conviction that runs through everything he builds at AER Labs: intelligence is becoming the substrate of civilization, and a substrate that important has to stay open. PyTorch is the clearest embodiment of that principle in practice — the open foundation that the overwhelming majority of AI research, and a growing share of production systems, are built on. He wants to be an Ambassador because he is already doing the work organically, and the program would let him do it with the reach, mandate, and direct connection to the Foundation that the work deserves.
That work is concentrated where he believes it matters most right now: Southeast Asia and the broader APAC region. The appetite for deep, technically grounded PyTorch community here is real — the inaugural Singapore meetup proved it — but the on-the-ground infrastructure to sustain it is still young. Daniel wants to be the connective tissue between the global Foundation and a region that is shifting from a consumer of AI infrastructure to an architect of it. In practice that means more meetups and workshops across the Singapore–Malaysia corridor, a reliable pipeline of regional speakers, and a local on-ramp for engineers who would otherwise watch the ecosystem from the outside.
It also means turning users into contributors. Through AER Labs he has already mentored researchers from a first PyTorch issue all the way to merged upstream code — the Int8Tensor contribution to TorchAO is one example — and the Ambassador role would let him scale that pipeline: more first-time contributors landing real work in TorchAO, vLLM, and the wider stack, more public research and tutorials that lower the barrier to entry, and a tighter feedback loop between regional builders and the projects they depend on. He sees the role not as a title but as a formal commitment to grow a community he already cares about, in a part of the world that is ready to give back to it.
</t>
  </si>
  <si>
    <t xml:space="preserve">Daniel's plan is to take what he's already doing on a volunteer basis and run it with intent, cadence, and a direct line back to the Foundation. Concretely:
**Organizing community events.** He would turn the inaugural Singapore meetup into a recurring series rather than a one-off, building toward a regular cadence and expanding across the Singapore–Malaysia corridor and the Network School community where he serves as AI Lead. He'd continue co-hosting with partners like Red Hat and vLLM, and push the format beyond talks into hands-on contribution sprints and hackathons where attendees leave having opened a PR, not just taken notes.
**Mentoring contributors.** This is where he has the most leverage. Through AER Labs he already runs a first issue to merged PR pipeline — the Int8Tensor contribution to TorchAO came out of exactly that process. As Ambassador he'd open that pipeline to the wider regional community: guided contribution sessions targeting good-first-issues in TorchAO, vLLM, and the broader stack, and pairing regional newcomers with maintainers so the path from curious to committed is short and well-lit.
**Educational outreach and content.** He'd keep producing the kind of public, deep-dive research reports AER Labs is known for, alongside tutorials and workshops on inference optimization, quantization, and distributed training — the topics regional engineers most want and most lack local guidance on. Talks would be recorded and distilled into reusable material across AER Labs' YouTube, Discord, and LinkedIn channels, so the reach of each event outlasts the evening it happened.
**Technical advocacy.** He'd champion the parts of the ecosystem he works in daily — torch.compile, TorchAO, and vLLM — and just as importantly, carry the region's needs in the other direction, representing APAC builders in Foundation venues like the TAC and the Multi-Cloud Working Group. The "open, sovereign intelligence" framing that resonated at the Singapore meetup is one he's well positioned to advance across a region actively investing in domestic AI.
**Supporting local and global communities.** Above all, he'd act as connective tissue: linking his existing networks — Network School, regional research labs, and the AER Labs fellowship cohort spanning Korea, Singapore, and India — into the global PyTorch community, so that a fast-growing but still-young regional ecosystem plugs directly into the Foundation rather than orbiting it.
</t>
  </si>
  <si>
    <t xml:space="preserve">My contributions focus on PyTorch-based education, mentorship, and structured peer learning that helps learners move from theory to practical implementation.
I have used PyTorch extensively to build and train deep learning models across computer vision and representation learning tasks. This includes implementing training pipelines using `torch.nn`, writing custom training loops, and debugging model behavior during training. These experiences have given me strong practical understanding of how PyTorch operates in real training environments.
I currently serve as a Teaching Assistant for Carnegie Mellon University’s 11-785 Introduction to Deep Learning, where I support students in implementing and debugging PyTorch-based assignments and help them understand model design and training behavior. This role has provided direct exposure to common challenges learners face when transitioning from theory to implementation.
I have also completed graduate-level coursework at Carnegie Mellon University (11-485/11-685/11-785), covering CNNs, transformers, optimization methods, and representation learning, all implemented using PyTorch.
In parallel, I lead AI/ML learning initiatives as Head of AI/ML at Google Developer Groups on Campus RJIT, where I have conducted hands-on sessions for 200+ students focused on building and training models using PyTorch.
Across these roles, my PyTorch-related contributions include:
- Teaching core PyTorch concepts (tensors, autograd, training loops)
- Guiding students in building and debugging end-to-end models
- Running peer learning groups of 10–30 students
- Supporting hands-on learning through repeated practice sessions
Impact Summary:
- Teaching Assistant for CMU 11-785 Deep Learning course
- 200+ students mentored through PyTorch-focused sessions
- Hands-on experience in PyTorch-based model development and debugging
- Structured peer learning sessions focused on implementation practice
Overall, my contribution is centered on making PyTorch more accessible through structured practice, guided implementation, and peer learning environments.
</t>
  </si>
  <si>
    <t xml:space="preserve">PyTorch has been central to how I learned and practiced machine learning because it directly connects theoretical ideas with working implementations.
Through my academic experience at Carnegie Mellon University and my role as a Teaching Assistant for 11-785 Introduction to Deep Learning, I have consistently observed that the main barrier for students is not understanding deep learning theory, but translating it into working PyTorch implementations.
This realization is the core reason I want to become a PyTorch Ambassador.
I want to reduce this friction by helping learners build models early, debug them effectively, and improve through hands-on practice. My goal is to make PyTorch a natural starting point for learning machine learning, rather than a tool introduced after theory.
I am especially motivated to build a learning culture where students learn by implementing, breaking, and improving models collaboratively through practice rather than isolated study.
As an Ambassador, I want to scale this approach through structured peer learning, workshops, and beginner-focused teaching rooted in real instructional experience.
</t>
  </si>
  <si>
    <t>**About AER Labs.** AER Labs is an open-source AI research institute built around the conviction that intelligence is civilizational infrastructure and has to remain open. It runs a distributed team of researchers across Korea, Singapore, and India, plus a fellowship program drawing contributors from institutions including SAMSUNG, SK Hynix, and LG CNS. Beyond the TorchAO Int8Tensor contribution, AER Labs has merged work across the open inference and post-training stack — including vLLM (a PyTorch Foundation project), SGLang, and related projects — and maintains its own systems work, including a C++ inference engine implementing PagedAttention, continuous batching, and chunked prefill.
**Broader community-building track record.** The Singapore PyTorch meetup is part of a sustained pattern rather than a one-off. Daniel has organized and co-hosted a string of technical AI events in the region — including a full-day AI Research Summit in 2026 with speakers from institutions such as USC/AI2, Oxford's VGG, NUS, and SNU; and developer events drawing several hundred registrants. He also runs an ongoing AER Labs seminar series featuring speakers from organizations including NVIDIA, Google DeepMind, Princeton, Oxford, and Sakana AI. This is the operational muscle he would bring to scaling a recurring PyTorch event series.
**Supporting resources**
- AER Labs — research &amp; blog: https://aerlabs.tech/research.html
- TorchAO Int8Tensor research report: https://aerlabs.tech/research/int8tensor-torchao
- TorchAO PR #3391: https://github.com/pytorch/ao/pull/3391
- AER Labs on LinkedIn: https://www.linkedin.com/company/aer-labs
- AER Labs on YouTube: https://www.youtube.com/@aerlabs
- AER Labs community (Discord): https://discord.gg/n7mZJqfjPb</t>
  </si>
  <si>
    <t>Zohaib-Ali-Singay</t>
  </si>
  <si>
    <t xml:space="preserve">Zohaib Ali Singay
</t>
  </si>
  <si>
    <t xml:space="preserve">As a PyTorch Foundation Ambassador, I would focus on structured, practice-driven learning to help beginners gain confidence through hands-on experience with PyTorch.
1. Hands-on PyTorch workshops  
I will organize beginner-focused workshops where students build neural networks step by step using PyTorch, from tensors and autograd to full training pipelines. The focus will be on implementation, debugging, and understanding model behavior through practice.
2. Peer learning groups  
I will continue running small peer learning groups of 10–30 students where participants collaboratively build projects, debug models, and reinforce PyTorch concepts through repetition and guided practice.
3. Educational content creation  
I will create beginner-focused material explaining PyTorch fundamentals such as training loops, model architecture, optimization behavior, and debugging strategies with a focus on practical intuition.
4. Academic-to-practice translation  
Through my experience as a Teaching Assistant for Carnegie Mellon University’s 11-785 course, I will help translate theoretical deep learning concepts into practical PyTorch implementations that learners can reproduce and understand.
My approach combines academic teaching experience and community leadership to build a structured learning pipeline from first exposure to confident implementation.
Overall, my contribution will focus on making PyTorch easier to learn through repetition, practice, and guided implementation in collaborative environments.
</t>
  </si>
  <si>
    <t xml:space="preserve">Islamabad, Islamabad Capital Territory, Pakistan
</t>
  </si>
  <si>
    <t xml:space="preserve">- [x] Community Building
- [x] Technical Education
- [x] Open Source Contributions
- [x] Research &amp; Academia
- [x] Developer Advocacy
- [x] Mentorship
- [x] Events &amp; Workshops
- [x] Content Creation
- [ ] Regional Community Growth
- [ ] Other
</t>
  </si>
  <si>
    <t xml:space="preserve">https://github.com/Zohaib-Ali-Singay
</t>
  </si>
  <si>
    <t xml:space="preserve">https://www.linkedin.com/in/zohaib06/
</t>
  </si>
  <si>
    <t xml:space="preserve">- [x] PyTorch
- [ ] vLLM
- [x] DeepSpeed
- [ ] Ray
- [ ] Helion
- [x] Safetensors
- [ ] Other
</t>
  </si>
  <si>
    <t>My academic experience at Carnegie Mellon University, including graduate-level coursework in deep learning (11-485/11-685/11-785), has provided strong exposure to modern machine learning systems such as CNNs, transformers, optimization methods, and representation learning, all implemented using PyTorch.
I currently serve as a Teaching Assistant for CMU’s 11-785 Introduction to Deep Learning, where I help students implement and debug PyTorch-based assignments and understand model behavior during training. This role has strengthened my ability to connect theoretical concepts with practical implementation in a structured learning environment.
Beyond academics, I lead AI/ML learning initiatives as Head of AI/ML at Google Developer Groups on Campus RJIT, where I have conducted hands-on sessions for over 200 students focused on building and training models using PyTorch.
My work focuses on:
- Building and training deep learning models using PyTorch  
- Helping learners understand training dynamics through hands-on practice  
- Supporting structured, collaborative learning environments  
Overall, my long-term goal is to make PyTorch more approachable for beginners by promoting structured practice, guided experimentation, and peer learning as the foundation of technical education.</t>
  </si>
  <si>
    <t xml:space="preserve">- [ ] Open source contributions
- [ ] Technical content creation
- [ ] Community leadership
- [ ] Events or workshops
- [x] Research or academic work
- [ ] Mentorship
- [x] University or student outreach
- [ ] Translation or localization efforts
- [ ] Other
</t>
  </si>
  <si>
    <t xml:space="preserve">My contributions to PyTorch Foundation projects and communities:
I actively use PyTorch in my deep learning and AI projects, focusing on model fine-tuning, efficient training, and building architectures from scratch.
Key contributions include:
- I developed a QLoRA-based fine-tuning pipeline in PyTorch for Qwen2.5 VL using Hugging Face, bitsandbytes (4-bit quantization), and PEFT. The project applied the model to exercise video–feedback pairs for AI motion capture in personalized fitness training. I tracked training metrics per epoch and achieved a validation accuracy of approximately 0.94 by epoch 3.
- I implemented GPT-2 (124M parameters) and Gemma 3 (270M parameters) architectures from scratch in PyTorch. These implementations included advanced features such as Rotary Positional Embeddings (RoPE), Grouped Query Attention (GQA), RMSNorm, Sliding Window Attention, KV-Caching, and mixed-precision inference.
- I authored a survey paper titled "A Survey of Recent Foundation Models: Architectures and Learning Strategies," which reviews architectural changes and learning strategies of foundation models. This work is relevant to the PyTorch research community. The paper is available here: https://www.techrxiv.org/doi/full/10.36227/techrxiv.176834456.68708065/v1
I also share my PyTorch-based work openly on GitHub to help others learn and build similar systems. Examples include my from-scratch LLM repository: https://github.com/Zohaib-Ali-Singay/LLMs
Through these projects, I contribute practical examples of model optimization, efficient inference, and real-world PyTorch applications to the broader community.
</t>
  </si>
  <si>
    <t xml:space="preserve">I want to become a PyTorch Foundation Ambassador because I deeply appreciate PyTorch as a powerful, open-source framework that enables researchers and developers to turn mathematical concepts into practical, working code with ease and efficiency.
What motivates me most is PyTorch’s flexibility and scalability. I actively use it because it allows seamless scaling from a single GPU to hundreds of thousands of GPUs. Its well-designed codebase makes distributed training and large-scale model development straightforward and reliable. This capability has been central to my work in fine-tuning large vision-language models, building architectures from scratch, and optimizing inference pipelines.
By becoming an Ambassador, I aim to support and grow the PyTorch community by sharing my hands-on experience, creating educational resources, and helping others—especially students and early-career developers—leverage PyTorch effectively for their projects and research. I am excited to contribute to the ecosystem that has supported my own learning and development.
</t>
  </si>
  <si>
    <t>Looks like an AI bot.</t>
  </si>
  <si>
    <t xml:space="preserve">As a PyTorch Foundation Ambassador, I would focus on technical advocacy to make PyTorch more accessible and practical for developers and researchers. Below is my complete end-to-end roadmap with approximate, measurable goals and timelines.
Technical Advocacy Roadmap
1. Content Creation &amp; Educational Resources (Months 1–6)
I will create practical tutorials and blog posts on key topics such as building transformer models from scratch, QLoRA fine-tuning, inference optimization with KV-Caching, and multi-GPU distributed training.
Target: Publish 8–10 high-quality tutorials and code examples in the first 6 months, aiming for 15,000+ total views and 500+ GitHub stars across repositories.
2. Open Source Contributions (Ongoing, starting Month 1)
I will contribute to PyTorch ecosystem projects by submitting pull requests for improved examples, documentation updates, and new use cases based on my experience.
Target: Submit at least 6–8 pull requests in the first year, with 3–4 accepted, focusing on educational examples and performance optimizations.
3. Workshops &amp; Technical Talks (Months 3–12)
I will organize and deliver hands-on workshops for students and early-career developers, both online and at local universities in Pakistan.
Target: Conduct 6 workshops in the first year (one every two months), reaching 300–400 participants total, with follow-up resources and code shared publicly.
4. Community Mentoring &amp; Support (Ongoing, starting Month 2)
I will actively mentor contributors through GitHub, Discord, and direct sessions, helping them with debugging, optimization, and advanced features.
Target: Mentor 25–30 individuals or small teams in the first year, helping them successfully complete and share their PyTorch-based projects.
5. Technical Feedback &amp; Advocacy (Months 6–12)
I will collect real user feedback on challenges with large-scale training and distributed systems, then create reproducible examples and share them with the PyTorch team.
Target: Identify and document 4–5 key improvement areas, resulting in at least 2–3 contributions or proposals back to the PyTorch Foundation.
6. Measuring &amp; Reporting Impact (Every 6 months)
I will track all activities using metrics such as views, stars, workshop attendance, PRs merged, and community feedback. I will publish transparent progress reports twice a year.
Through this roadmap, I aim to deliver consistent, measurable value to the PyTorch community by combining my hands-on experience in scalable training and model optimization with structured outreach. I am committed to helping more developers confidently use PyTorch from single GPUs to large-scale systems.
</t>
  </si>
  <si>
    <t xml:space="preserve">- [ ] Community Building
- [x] Technical Education
- [ ] Open Source Contributions
- [x] Research &amp; Academia
- [ ] Developer Advocacy
- [x] Mentorship
- [ ] Events &amp; Workshops
- [ ] Content Creation
- [ ] Regional Community Growth
- [ ] Other
</t>
  </si>
  <si>
    <t>[Zohaib-8a.pdf](https://github.com/user-attachments/files/29061073/Zohaib-8a.pdf)</t>
  </si>
  <si>
    <t>Borderline</t>
  </si>
  <si>
    <t>Ayush is a capable PyTorch educator, a CMU 11-785 teaching assistant and GDG on Campus AI/ML lead who reports running hands-on sessions and peer-learning groups for students, but his application shows no verifiable contributions to PyTorch Foundation projects or communities, and all impact metrics are self-reported without supporting links. I rate him borderline: the teaching potential is genuine, but the evidence of Foundation-level engagement is not yet strong enough for me to recommend.</t>
  </si>
  <si>
    <t>Damasoumana1</t>
  </si>
  <si>
    <t xml:space="preserve">Soumana Dama
</t>
  </si>
  <si>
    <t xml:space="preserve">Ouagadougou, Burkina Faso
</t>
  </si>
  <si>
    <t xml:space="preserve">https://github.com/Damasoumana1
</t>
  </si>
  <si>
    <t xml:space="preserve">https://www.linkedin.com/in/soumana-dama-445096253/
</t>
  </si>
  <si>
    <t xml:space="preserve">https://x.com/Soumana_DAMA
</t>
  </si>
  <si>
    <t>cnuland</t>
  </si>
  <si>
    <t>purnendunaskar987</t>
  </si>
  <si>
    <t xml:space="preserve">## Community Contribution Overview
I am an AI and Machine Learning practitioner based in Burkina Faso, working at the intersection of computer vision, speech technologies, and community-driven AI education in Francophone Africa.
My technical contributions focus on building and adapting machine learning models for low-resource African languages and real-world use cases.
 Technical Contributions
I have developed and fine-tuned deep learning models using PyTorch-based ecosystems for practical AI applications, including computer vision and speech processing.
One of my recent open-source contributions is a speech recognition model trained for an under-resourced language:
* Whisper fine-tuned model (Moore language speech recognition):
  https://huggingface.co/Dama12/whisper-small-moore
This project demonstrates my work in adapting state-of-the-art speech recognition models to African linguistic contexts, particularly for low-resource languages.
I am currently expanding this work into:
* Text-to-Speech (TTS) systems for the Dioula language
* Speech-to-Text (STT) improvements for local languages
* Multilingual AI systems adapted to African linguistic diversity
In parallel, I have developed and trained computer vision models using YOLO-based architectures within the PyTorch ecosystem for agricultural disease detection, particularly for onion crop disease classification (alternariosis, fusariosis, bulb rot, virosis).
 Community Engagement &amp; Leadership
I actively contribute to AI capacity building in Burkina Faso through:
* Participation in the 10,000 Codeurs Burkina Faso initiative
* Technical mentoring of students in AI and software engineering
* Development of educational AI projects to support local learners
My goal is to democratize access to machine learning knowledge, particularly PyTorch-based deep learning, in Francophone Africa where such resources remain limited.
 Impact &amp; Reach
* 1 open-source speech recognition model published on Hugging Face
* Multiple AI projects in development (speech and computer vision)
* Active mentoring of students in AI and software development
* Contribution to AI education initiatives in Burkina Faso
* Focus on low-resource African language AI systems (Moore, Dioula)
 Supporting Links
* Speech recognition model (Hugging Face):
  https://huggingface.co/Dama12/whisper-small-moore
* AI community involvement:
  10,000 Codeurs Burkina Faso (community initiatives)
 Vision
My long-term goal is to strengthen the PyTorch ecosystem in Francophone Africa by:
* Creating accessible PyTorch tutorials in French
* Building open-source AI models for African languages
* Organizing local workshops and training sessions
* Supporting young developers entering machine learning
I aim to bridge the gap between cutting-edge AI research and real-world applications in underserved African communities.
</t>
  </si>
  <si>
    <t xml:space="preserve">Christopher Nuland
</t>
  </si>
  <si>
    <t xml:space="preserve">Purnendu Naskar
</t>
  </si>
  <si>
    <t xml:space="preserve">Boston, MA, USA
</t>
  </si>
  <si>
    <t xml:space="preserve">Howrah, West Bengal, India
</t>
  </si>
  <si>
    <t xml:space="preserve">## Why does the nominee want to become a PyTorch Foundation Ambassador?
The nominee is motivated by a strong commitment to advancing artificial intelligence research and education in Burkina Faso and across Francophone Africa, with a particular focus on making PyTorch-based machine learning more accessible to local developers, students, and researchers. While PyTorch is widely used in global research and industry, its adoption and structured learning resources remain limited in many African academic and technical communities. The nominee aims to help bridge this gap by contributing to knowledge sharing, practical training, and community building.
The nominee’s personal experience working on computer vision and speech recognition projects for low-resource African languages has highlighted both the potential of PyTorch and the lack of localized educational content. This has inspired a long-term goal of building practical AI systems that address real-world challenges such as agriculture, healthcare, and multilingual communication, while also empowering young developers to learn and contribute to open-source ecosystems.
Becoming a PyTorch Foundation Ambassador represents an opportunity to formally support and grow the PyTorch community in underrepresented regions, foster collaboration, and create pathways for more developers in Africa to engage with modern machine learning tools. The nominee is particularly interested in organizing local workshops, creating educational content in French, and encouraging contributions to open-source AI projects to strengthen the regional ecosystem.
</t>
  </si>
  <si>
    <t xml:space="preserve">github.com/cnuland
</t>
  </si>
  <si>
    <t xml:space="preserve">https://www.linkedin.com/in/cjnuland/
</t>
  </si>
  <si>
    <t xml:space="preserve">https://github.com/purnendunaskar987
</t>
  </si>
  <si>
    <t>matt-cossins</t>
  </si>
  <si>
    <t xml:space="preserve">## How would this nominee contribute as a PyTorch Foundation Ambassador?
The nominee would actively contribute to the growth and visibility of the PyTorch ecosystem in Burkina Faso and across Francophone Africa through community building, education, and technical advocacy.
A primary focus would be organizing local and virtual events such as PyTorch introductory workshops, hands-on training sessions, and AI study groups targeting students, early-career developers, and researchers. These events would aim to make PyTorch more accessible by focusing on practical use cases such as computer vision, speech recognition, and real-world AI applications relevant to African contexts.
The nominee would also engage in educational outreach by creating tutorials, guides, and explanatory content in French to lower the barrier to entry for PyTorch and deep learning frameworks. This includes sharing practical examples based on real projects such as agricultural disease detection and speech recognition for low-resource African languages.
In addition, the nominee would mentor junior developers and students interested in machine learning by guiding them through project development, model training, and best practices in deep learning workflows using PyTorch. This mentorship would be delivered through local initiatives such as 10,000 Codeurs Burkina Faso and academic collaborations.
The nominee also plans to support open-source contributions by encouraging local developers to participate in PyTorch-related projects and by helping them understand how to contribute to global AI ecosystems. This includes fostering collaboration, code sharing, and participation in community discussions.
Overall, the nominee aims to serve as a bridge between the global PyTorch community and emerging AI talent in Francophone Africa, ensuring that more developers can learn, contribute, and build impactful AI solutions using PyTorch.
</t>
  </si>
  <si>
    <t xml:space="preserve">Matthew Cossins
</t>
  </si>
  <si>
    <t xml:space="preserve">- [x] PyTorch
- [x] vLLM
- [ ] DeepSpeed
- [x] Ray
- [ ] Helion
- [ ] Safetensors
- [ ] Other
</t>
  </si>
  <si>
    <t xml:space="preserve">Cambridge, Cambridgeshire, UK
</t>
  </si>
  <si>
    <t xml:space="preserve">https://www.linkedin.com/in/purnendunaskar/
</t>
  </si>
  <si>
    <t xml:space="preserve">- [x] Open source contributions
- [x] Technical content creation
- [x] Community leadership
- [x] Events or workshops
- [x] Research or academic work
- [ ] Mentorship
- [ ] University or student outreach
- [ ] Translation or localization efforts
- [ ] Other
</t>
  </si>
  <si>
    <t xml:space="preserve">Burkina Faso
</t>
  </si>
  <si>
    <t xml:space="preserve">https://github.com/matt-cossins
</t>
  </si>
  <si>
    <t xml:space="preserve">https://x.com/Purnendu987
</t>
  </si>
  <si>
    <t xml:space="preserve">https://www.linkedin.com/in/cossinsmatthew/
</t>
  </si>
  <si>
    <t xml:space="preserve">My work centers on vLLM, a PyTorch Foundation-hosted project, and on llm-d, the distributed inference framework that runs on top of vLLM. In my former role as Technical Marketing Engineer at Red Hat, I have spent the last year building the educational and advocacy layer that helps enterprise teams actually adopt vLLM in production, not just experiment with it.
Most of my contribution is technical content creation and developer enablement. I have authored or co-authored a connected series of articles that walk practitioners from "what is this" to "here is how to tune it for your workload":
My current role as of June, 2026, is Chief AI Architect for North America within Red Hat, where I help establish the overall strategy of AI adoption with our customers. 
Improve vLLM Semantic Router accuracy with fine-tuning (Red Hat Developer, June 2026): https://developers.redhat.com/articles/2026/06/02/improve-vllm-semantic-router-accuracy-fine-tuning
Getting started with the vLLM Semantic Router project's Athena release: Optimize your tokens for agentic AI (Red Hat Developer, March 2026): https://developers.redhat.com/articles/2026/03/25/getting-started-vllm-semantic-router-athena-release
Demystifying llm-d and vLLM: The race to production (Red Hat Blog, March 2026): https://www.redhat.com/en/blog/demystifying-llm-d-and-vllm-race-production
What is llm-d and why do we need it? (Red Hat Blog, March 2026): https://www.redhat.com/en/blog/what-llm-d-and-why-do-we-need-it
Introduction to distributed inference with llm-d (Red Hat Developer, November 2025): https://developers.redhat.com/articles/2025/11/21/introduction-distributed-inference-llm-d
Master KV cache aware routing with llm-d for efficient AI inference (Red Hat Developer, October 2025): https://developers.redhat.com/articles/2025/10/07/master-kv-cache-aware-routing-llm-d-efficient-ai-inference
Because llm-d is built directly on vLLM, this work doubles as vLLM advocacy. I focus on the parts of the stack that decide whether vLLM succeeds in real deployments: KV cache aware routing, disaggregated prefill and decode, the Semantic Router, and fine-tuning workflows that improve routing accuracy. The goal across all of it is to lower the barrier between a vLLM proof of concept and a vLLM production system.
Beyond writing, I work the community and events side. I presented a poster session at PyTorch Conference 2025, Dynamic Pod Tuning with TinyTimeMixers (TTM), demonstrating a zero-shot, PyTorch-based time-series inference pipeline on the IBM Granite TTM-R2 foundation model that feeds Kubernetes autoscaling decisions. I have also appeared on Red Hat's Compiler podcast discussing agentic AI and AI fundamentals, reaching a broad practitioner audience.
I bring prior open source foundation experience as well. I served as a Konveyor Ambassador in the cloud-native space, so I understand what the ambassador role asks for: consistent, vendor-neutral advocacy, mentoring contributors, and translating fast-moving project work into material the wider community can use. I want to bring that same posture to the PyTorch Foundation, with a focus on growing the vLLM and llm-d practitioner community and making production inference accessible to enterprise teams.
I have a degree in AI from Purdue University within their school of Computer Science. I am very focused on the research and development side of this community, and work closely with research institutions like Purdue, MIT, and BU regularly. 
</t>
  </si>
  <si>
    <t xml:space="preserve">- [x] PyTorch
- [ ] vLLM
- [ ] DeepSpeed
- [ ] Ray
- [ ] Helion
- [ ] Safetensors
- [x] Other
</t>
  </si>
  <si>
    <t xml:space="preserve">ExecuTorch
</t>
  </si>
  <si>
    <t xml:space="preserve">Three things drive me, and they reinforce each other.
The first is a long-standing love for open source. My career has been built on the belief that the best infrastructure is the kind anyone can read, run, fix, and improve. Open source is how trust gets earned in this industry: not by taking a vendor's word for it, but by being able to see the code. The PyTorch Foundation is one of the few places doing that at the scale modern AI requires, with real vendor-neutral governance behind it, and I want to help defend and extend that model.
The second is a deep concern about the privatization of AI. The most capable models and the infrastructure to serve them are concentrated in a small number of companies, behind closed APIs that you cannot inspect, self-host, or fully trust. That concentration is a risk to developers, to enterprises, and to the public. Projects like vLLM are the direct counterweight. An open, high-performance inference engine that you can run on your own hardware is what keeps serious AI from becoming something you can only rent from three vendors. I want to spend my energy making that open path the easy path.
The third is a belief in AI sovereignty as a global necessity. Countries, institutions, and communities should be able to run AI on their own terms, on hardware they choose, under governance they control, without depending on a single foreign provider. vLLM's hardware independence and open governance make that practically possible, and the PyTorch Foundation gives it a durable, neutral home. Helping more people around the world stand up their own inference, in their own data centers, on their own accelerators, is the work I find most worth doing.
Put simply, I am motivated to grow the pytorch community because open, sovereign, inspectable AI infrastructure is something I believe the world needs, and the PyTorch Foundation is the right place to build it.
</t>
  </si>
  <si>
    <t xml:space="preserve">- [ ] Open source contributions
- [ ] Technical content creation
- [x] Community leadership
- [x] Events or workshops
- [x] Research or academic work
- [ ] Mentorship
- [x] University or student outreach
- [x] Translation or localization efforts
- [ ] Other
</t>
  </si>
  <si>
    <t xml:space="preserve">- [ ] Open source contributions
- [x] Technical content creation
- [ ] Community leadership
- [x] Events or workshops
- [ ] Research or academic work
- [ ] Mentorship
- [x] University or student outreach
- [ ] Translation or localization efforts
- [ ] Other
</t>
  </si>
  <si>
    <t xml:space="preserve">I've some experience with other communities to host meetups. It's on AI, ML, Data, Cloud etc. I believe if I got selected then definitely I'll play a vital role on this PyTorch ecosystem by managing community to hosting events etc..  
</t>
  </si>
  <si>
    <t>## Additional Information
The nominee is actively engaged in AI and open-source advocacy through multiple channels, combining technical learning, community engagement, and knowledge sharing.
He regularly publishes content on LinkedIn and X focused on open-source tools, artificial intelligence trends, and practical applications of machine learning. He also runs an information platform called “Burkina IA TV,” dedicated to sharing AI news, technological updates, and educational content to help raise awareness and understanding of artificial intelligence in Burkina Faso and the wider Francophone African community.
He is the founder of Scoinvestigator, an initiative focused on exploring and experimenting with AI and data-driven solutions. In addition, he provides continuous mentorship to students and early-stage developers by offering guidance, feedback, and support on their AI and machine learning projects.
The nominee is also actively involved in several international and regional communities and programs, including:
* AMD AI Developer Program (Member, AI Developer – Apr 2026 – Present)
* Google Cloud &amp; NVIDIA Community (Member – Dec 2025 – Present)
* Canva Burkina Community (Leading Member – Oct 2024 – Present)
* Mentor Me Collective (Member – May 2024 – Present)
* Zindi Africa (Member – Feb 2023 – Present)
* Association 10,000 Codeurs Burkina Faso (Ambassador and Reporting Manager)
* GeoAI Africa (Member)
* United People Global (UPG Sustainability Leader 2024 – Champion Member)
Through these engagements, the nominee has developed experience in community building, technical communication, and mentorship, with a strong focus on democratizing access to AI knowledge and empowering young developers in Africa.</t>
  </si>
  <si>
    <t xml:space="preserve">As a Developer Ecosystem Manager in Arm's AI &amp; Developer Platforms group, I help developers adopt and deploy AI technologies through technical education, community engagement, and ecosystem development. My contributions to the PyTorch ecosystem have focused on educational content, technical advocacy, and growing adoption of PyTorch Foundation projects, particularly ExecuTorch.
I am the primary author of the "[ExecuTorch on Arm](https://github.com/arm-education/executorch_on_arm_labs)" hands-on laboratory series, alongside contributor Professor Marcelo Rovai of the Edge AI Foundation. These labs provide practical guidance for getting started deploying PyTorch models on Arm-based edge devices and serve as an executable learning resource that complements the official ExecuTorch documentation. As part of this work, I authored a [PyTorch Foundation blog](https://pytorch.org/?p=79236&amp;preview=1&amp;_ppp=6ef298df8b) on practical ExecuTorch workflows on Arm and will be delivering an upcoming IEEE webinar focused on ExecuTorch and edge AI deployment. The labs are currently being expanded into a complete online course, and I am creating additional tutorials covering topics such as PyTorch and ExecuTorch artifact visualization with Model Explorer, and different deployment workflows.
I regularly deliver workshops and training sessions for developers, academics, researchers, and industry professionals. This includes an [IEEE-sponsored workshop in Illinois](https://www.linkedin.com/posts/elahe-javadi-b2b110175_ai-arm-npu-ugcPost-7448206862799491072-wMv2/) covering PyTorch inference in the cloud and ExecuTorch deployment across CPUs, GPUs, and NPUs on edge devices. My experience also includes working with universities, educators, researchers, and students. As part of this work I devised student projects for Arm Edge AI Challenges that leveraged PyTorch and ExecuTorch.
Through open educational resources, technical content, workshops, and community engagement, I have worked to make ExecuTorch and other PyTorch Foundation technologies more accessible while helping developers, students, and researchers deploy AI applications at the edge.
</t>
  </si>
  <si>
    <t xml:space="preserve">I want to become a PyTorch Foundation Ambassador because I am passionate about helping developers, students, researchers, and educators adopt and apply open AI technologies.
I enjoy building technical communities and creating educational resources that help people move from learning about AI to deploying real-world applications. I also have extensive experience in STEM, computer science, and engineering outreach and mentorship through organisations such as STEM Learning UK and the Arkwright Scholarships Trust. My professional work has spanned both developer and academic ecosystems, giving me a strong appreciation for the challenge of bridging AI research, developer education, and practical deployment.
PyTorch and ExecuTorch play a critical role in making AI accessible, and as AI increasingly moves from the cloud to edge devices, I see a significant opportunity to help more developers successfully deploy AI in real-world environments.
Becoming a PyTorch Foundation Ambassador would allow me to expand the educational, mentoring, and outreach activities I am already involved in while helping more people discover, adopt, and contribute to PyTorch Foundation technologies.
</t>
  </si>
  <si>
    <t xml:space="preserve">I want to become a PyTorch Foundation Ambassador to help make open-source AI more accessible to developers and students worldwide, especially in growing regional tech hubs. PyTorch completely changed how I approach machine learning, balancing research flexibility with production power, and I want to help others experience that. For me, this role is a natural next step to scale the workshops, meetups, and mentorship I’m already doing. Becoming an Ambassador will allow me to better connect grassroots developer communities with core maintainers, lower the entry barrier for new contributors, and advocate for sustainable, open-source AI growth.
</t>
  </si>
  <si>
    <t xml:space="preserve">As a PyTorch Foundation Ambassador, I would continue building practical educational resources that help developers deploy PyTorch models in real-world environments, particularly on edge devices. This includes supporting the development of the existing ExecuTorch on Arm labs into a complete online course, delivering the planned IEEE webinar on ExecuTorch, and creating additional tutorials.
Beyond my current plans, I would use the Ambassador role to significantly expand my community outreach activities. Drawing on my experience across both developer ecosystems and academia, I would like to organize more workshops, conference talks, and university engagements while creating new opportunities for students and early-career developers to discover PyTorch Foundation projects and contribute to open source. I would also like to expand PyTorch outreach to younger audiences through hands-on school workshops and STEM activities that introduce AI concepts and simple application development.
With the additional reach and visibility provided by the Ambassador programme, I would be interested in developing larger community-led initiatives such as PyTorch-focused hackathons, mentoring programmes, and collaborative events that bring together developers, researchers, educators, and students.
My goal would be to grow awareness, adoption, and contributor engagement across PyTorch Foundation projects while helping developers at all stages of their journey build and deploy AI applications successfully..
</t>
  </si>
  <si>
    <t xml:space="preserve">My contribution would concentrate on the inference side of the Foundation's portfolio, specifically enabling and growing the vLLM practitioner community and getting more teams from experimentation to production.
Content and technical advocacy are where I have the most leverage. I would keep producing the kind of hands-on material I already publish through Red Hat Developer and the Red Hat blog: deep dives on vLLM internals like the Semantic Router, fine-tuning workflows that improve routing accuracy, quantization, and multi-hardware serving, written for engineers who need to ship, not just read. As an Ambassador I would extend that beyond Red Hat properties and contribute vendor-neutral tutorials, reference architectures, and getting-started guides directly into Foundation channels, so the material serves the whole vLLM community rather than one vendor's audience.
Enablement is the through-line of everything I do. My goal is to shorten the distance between a vLLM proof of concept and a production deployment, and I do that by turning fast-moving project work into material teams can actually follow. As an Ambassador I would build and maintain that enablement layer for vLLM: learning paths, workshop curricula, and reference deployments that give new adopters a clear, repeatable on-ramp.
On events and outreach, I want to do more of what I did with my PyTorch Conference 2025 poster session and my livestream and podcast work. Concretely, I would propose and deliver talks and workshops at PyTorch Conference and regional PyTorch and AI meetups, run hands-on vLLM sessions that take attendees through a real deployment, and help seed local practitioner groups in areas where production LLM inference is underserved. I am comfortable on camera and on stage, so livestreams, office hours, and recorded walkthroughs are a natural fit.
I also bring foundation-level leadership experience to the role. As a former Konveyor Ambassador I understand the difference between promoting a product and stewarding a community: staying vendor-neutral, amplifying other people's work, and representing the project's interests rather than my employer's. I would hold to that standard for the PyTorch Foundation and for vLLM, and act as a consistent, credible advocate for the project across the enterprise audience I already reach.
If I had to name one measurable goal for a first year, it would be this: meaningfully grow the population of people who can confidently deploy vLLM in production, measured in talks delivered, workshops run, learning paths published, and community reach across the channels I contribute to.
</t>
  </si>
  <si>
    <t xml:space="preserve">- [x] Community Building
- [x] Technical Education
- [ ] Open Source Contributions
- [ ] Research &amp; Academia
- [x] Developer Advocacy
- [x] Mentorship
- [x] Events &amp; Workshops
- [x] Content Creation
- [ ] Regional Community Growth
- [ ] Other
</t>
  </si>
  <si>
    <t xml:space="preserve">I'll help in these:
- Organizing community events
- Educational outreach
- Technical advocacy
- Content creation
- Supporting local or global AI communities
</t>
  </si>
  <si>
    <t xml:space="preserve">Europe
</t>
  </si>
  <si>
    <t xml:space="preserve">United Kingdom
</t>
  </si>
  <si>
    <t xml:space="preserve">- [x] Community Building
- [ ] Technical Education
- [x] Open Source Contributions
- [ ] Research &amp; Academia
- [x] Developer Advocacy
- [ ] Mentorship
- [x] Events &amp; Workshops
- [x] Content Creation
- [x] Regional Community Growth
- [ ] Other
</t>
  </si>
  <si>
    <t>I am a Developer Ecosystem Manager in Arm's AI &amp; Developer Platforms group, where I drive adoption of Arm-powered AI technologies through developer education and technical enablement. I hold an MEng in Electrical and Electronic Engineering from the University of Nottingham, specialising in AI and neuromorphic computing, and have worked as an engineer across software engineering and embedded systems.
Beyond my professional work, I am actively involved in engineering mentoring through the Arkwright Scholarships Trust and STEM outreach as a STEM Learning Ambassador. I regularly deliver outreach activities both independently and on behalf of organisations including Arm and the UK Electronics Skills Foundation, helping to inspire and support the next generation of engineers and technologists. I have also been fortunate to receive several engineering awards, including an Institution of Engineering and Technology (IET) Prize.</t>
  </si>
  <si>
    <t>From 2024, I'm a mentor for the Google Cloud Arcade Facilitator Program, already helped 1500+ students/working professionals/developers throughout the program. Additionally, I'm working with local tech communities like ML Kolkata, AWS User Group Kolkata, GDG Cloud Kolkata to help them organize event from more than 1 year. Beside of these, I'm now a Co-Organizer of Indian Data Club Kolkata chapter. Recently, I'm working with the Open Source Con India team to organize the full-day global conference at Kolkata on December this year.</t>
  </si>
  <si>
    <t>Poster session, Dynamic Pod Tuning with TinyTimeMixers (TTM), PyTorch Conference 2025. A zero-shot, PyTorch-based time-series inference pipeline on the IBM Granite TTM-R2 foundation model, used to drive proactive Kubernetes autoscaling.
Nuland, Christopher. "Improve vLLM Semantic Router accuracy with fine-tuning." Red Hat Developer, June 2, 2026. https://developers.redhat.com/articles/2026/06/02/improve-vllm-semantic-router-accuracy-fine-tuning
Nuland, Christopher. "Getting started with the vLLM Semantic Router project's Athena release: Optimize your tokens for agentic AI." Red Hat Developer, March 25, 2026. https://developers.redhat.com/articles/2026/03/25/getting-started-vllm-semantic-router-athena-release
Red Hat Blog (author hub: https://www.redhat.com/en/authors/christopher-nuland)
Nuland, Christopher, and Carlos Condado. "The efficient enterprise: Scaling intelligence with Mixture of Experts." Red Hat Blog, March 17, 2026. https://www.redhat.com/en/blog/efficient-enterprise-scaling-intelligence-mixture-experts
Nuland, Christopher, and Carlos Condado. "Demystifying llm-d and vLLM: The race to production." Red Hat Blog, March 2026. https://www.redhat.com/en/blog/demystifying-llm-d-and-vllm-race-production
Nuland, Christopher, and Cedric Clyburn. "What is llm-d and why do we need it?" Red Hat Blog, March 2026. https://www.redhat.com/en/blog/what-llm-d-and-why-do-we-need-it
Nuland, Christopher. "How Red Hat OpenShift AI simplifies trust and compliance." Red Hat Blog, December 9, 2025. https://www.redhat.com/en/blog/how-red-hat-openshift-ai-simplifies-trust-and-compliance
Nuland, Christopher. "Navigating AI risk: Building a trusted foundation with Red Hat." Red Hat Blog, December 8, 2025. https://www.redhat.com/en/blog/navigating-ai-risk-building-trusted-foundation-red-hat
Nuland, Christopher. "Infusing AI into applications using IBM watsonx.ai with Red Hat OpenShift AI." Red Hat Blog, November 24, 2025. https://www.redhat.com/en/blog/ibm-watsonxai-with-red-hat-openshift-ai
Red Hat Developer
Nuland, Christopher. "Improve vLLM Semantic Router accuracy with fine-tuning." Red Hat Developer, June 2, 2026. https://developers.redhat.com/articles/2026/06/02/improve-vllm-semantic-router-accuracy-fine-tuning
Nuland, Christopher. "Getting started with the vLLM Semantic Router project's Athena release: Optimize your tokens for agentic AI." Red Hat Developer, March 25, 2026. https://developers.redhat.com/articles/2026/03/25/getting-started-vllm-semantic-router-athena-release
Nuland, Christopher, and Addie Stevens. "Introduction to distributed inference with llm-d." Red Hat Developer, November 21, 2025. https://developers.redhat.com/articles/2025/11/21/introduction-distributed-inference-llm-d
Nuland, Christopher, and Maroon Ayoub (IBM). "Master KV cache aware routing with llm-d for efficient AI inference." Red Hat Developer, October 7, 2025. https://developers.redhat.com/articles/2025/10/07/master-kv-cache-aware-routing-llm-d-efficient-ai-inference
Video
Nuland, Christopher. "Red Hat OpenShift AI: Predictive and Generative AI Demo." Red Hat OpenShift (YouTube), October 21, 2024. https://www.youtube.com/watch?v=AxggU3SekV4
Nuland, Christopher. "Red Hat OpenShift AI: Features and Architecture." Red Hat OpenShift (YouTube), October 21, 2024. https://www.youtube.com/watch?v=GbVUJ9EZT0Y
Nuland, Christopher. "Training an AI to Conquer Double Dragon: Reinforcement Learning." Red Hat Expert Extra Videos, learn.redhat.com. https://learn.redhat.com/t5/Expert-Extra-Videos/Training-an-AI-to-Conquer-Double-Dragon-Reinforcement-Learning/ba-p/43452
KubeCon + CloudNativeCon EU 2026 (Amsterdam, March 23–26, 2026), Redefining SLIs for LLM Inference: Managing Hybrid Cloud with vLLM &amp; LLM-D, with Hilliary Lipsig, Red Hat. Hall 7, Room A. https://kccnceu2026.sched.com/
KubeCon + CloudNativeCon EU 2026, Tutorial: Building Intelligent Apps with RAG on Kubernetes: From Raw Data to Real-Time Insights, with Cedric Clyburn, Natale Vinto, and Legare Kerrison, Red Hat. https://kccnceu2026.sched.com/
AI inference / llm-d
KubeCon + CloudNativeCon NA 2025 (Atlanta, Nov 2025), Three Well-Lit Paths to Scalable LLM Inference with llm-d on Kubernetes (llm-d deployed on vLLM, Prometheus, Grafana). https://www.redhat.com/en/events/red-hat-kubecon-cloudnativecon-north-america-2025
KubeCon + CloudNativeCon NA 2025, sponsored demo theater, llm-d: Multi-Accelerator LLM Inference on Kubernetes. 
CNCF-hosted Co-located Events EU 2024, Gen-AI at Scale: Simplifying Orchestration of Healthcare Applications Across Multi-Cluster Environments, with Selvi Kadirvel, Elotl. https://colocatedeventseu2024.sched.com/
KubeCon + CloudNativeCon EU 2023 (Amsterdam), Reflecting on Large-Scale Cloud-Native Modernizations, with Valentina Rodriguez Sosa, Jared Burck (Red Hat), and James Bench (Maximus). https://kccnceu2023.sched.com/
theCUBE interview
KubeCon + CloudNativeCon NA 2022 (Detroit), Konveyor joining the CNCF, with Savitha Raghunathan. https://www.youtube.com/watch?v=3yRy-eR3rhg
Podcast (Red Hat Compiler)
Nuland, Christopher (guest). "AI 101." Compiler, Red Hat. https://www.redhat.com/en/compiler-podcast/ai-101</t>
  </si>
  <si>
    <t>Relevant low-resource-language work and Francophone outreach potential, but current PyTorch-specific impact and reach are modest; a credible candidate with more evidence needed.</t>
  </si>
  <si>
    <t>This nominee presents claims of broad community facilitation work (Google Cloud Arcade, local tech groups, Indian Data Club) but provides no supporting links and shows no verifiable engagement with PyTorch Foundation projects or communities.</t>
  </si>
  <si>
    <t>hung-hq</t>
  </si>
  <si>
    <t xml:space="preserve">Hung Hoang Quoc
</t>
  </si>
  <si>
    <t>ksasso1028</t>
  </si>
  <si>
    <t xml:space="preserve">Hanoi, Vietnam
</t>
  </si>
  <si>
    <t xml:space="preserve">Kevin Sasso
</t>
  </si>
  <si>
    <t xml:space="preserve">San Francisco, CA
</t>
  </si>
  <si>
    <t xml:space="preserve">https://github.com/hung-hq
</t>
  </si>
  <si>
    <t xml:space="preserve">https://github.com/ksasso1028
</t>
  </si>
  <si>
    <t xml:space="preserve">https://www.linkedin.com/in/hunghoangquoc/
</t>
  </si>
  <si>
    <t>Washington-Kimani</t>
  </si>
  <si>
    <t xml:space="preserve">https://web.facebook.com/hunghoangquoc0
</t>
  </si>
  <si>
    <t xml:space="preserve">Washington Kimani
</t>
  </si>
  <si>
    <t>Raouldev830</t>
  </si>
  <si>
    <t xml:space="preserve">Nairobi, Kenya
</t>
  </si>
  <si>
    <t xml:space="preserve">MCCL -&gt; https://github.com/mps-ddp/mccl
</t>
  </si>
  <si>
    <t xml:space="preserve">ntui raoul
</t>
  </si>
  <si>
    <t xml:space="preserve">- [ ] Open source contributions
- [ ] Technical content creation
- [x] Community leadership
- [x] Events or workshops
- [x] Research or academic work
- [ ] Mentorship
- [x] University or student outreach
- [ ] Translation or localization efforts
- [ ] Other
</t>
  </si>
  <si>
    <t xml:space="preserve">- [x] PyTorch
- [ ] vLLM
- [ ] DeepSpeed
- [x] Ray
- [ ] Helion
- [x] Safetensors
- [x] Other
</t>
  </si>
  <si>
    <t xml:space="preserve">https://github.com/Washington-Kimani
</t>
  </si>
  <si>
    <t xml:space="preserve">Buea, Cameroon 
</t>
  </si>
  <si>
    <t xml:space="preserve">Executorch, TensorRT
</t>
  </si>
  <si>
    <t xml:space="preserve">- [x] Open source contributions
- [ ] Technical content creation
- [ ] Community leadership
- [ ] Events or workshops
- [x] Research or academic work
- [ ] Mentorship
- [ ] University or student outreach
- [ ] Translation or localization efforts
- [ ] Other
</t>
  </si>
  <si>
    <t xml:space="preserve">I created the first DDP backend for MPS in PyTorch and am currently testing it on clusters of upwards of 24. I think this is a meaningful contribution to the open source landscape, it deserves attention for mass adoption. I am enthusiastic about scaling this into a real project capable of being integrated into PyTorch 
</t>
  </si>
  <si>
    <t xml:space="preserve">Throughout my academic and community activities, I have actively contributed to the growth of the AI and open-source ecosystem by promoting deep learning technologies, including PyTorch, among university students and young researchers in Vietnam.
One of my notable contributions was serving as a Student Ambassador for the Vietnam International Innovation Expo 2025 (VIIE 2025), a national-scale technology and innovation event organized by the Vietnam National Innovation Center (NIC). In this role, I actively engaged students from my university, encouraged participation in innovation and AI-related activities, and helped connect young talent with industry experts, researchers, and technology organizations.
My efforts were recognized with a Certificate of Appreciation awarded by the Vietnam National Innovation Center for valuable contributions to the Vietnam International Innovation Expo 2025 and for promoting creativity and collaboration within Vietnam’s growing innovation ecosystem.
Beyond event participation, I have continuously advocated for AI education and research within my academic community. As a student researcher, I work on machine learning and deep learning applications, including Neural Architecture Search (NAS) and graph-based financial fraud detection. These projects extensively leverage modern deep learning frameworks and contribute to the broader ecosystem of AI practitioners and learners.
Through community engagement activities, academic research, and peer support, I have encouraged students to explore open-source AI technologies, participate in innovation programs, and pursue research opportunities. My goal is to help expand access to AI knowledge and foster a collaborative learning environment aligned with the values of the PyTorch Foundation community.
Supporting links:
• Vietnam International Innovation Expo 2025 (Official Event Website): https://expo.nic.gov.vn/
• Event Ambassador Activity Post: https://web.facebook.com/hunghoangquoc0/posts/pfbid0d6aaH8dcQigej7jCJVXQMjmjYBydyNPRhGNVUbntvLYrkgJ7y8U7mVY3QjLoe4bal
• Official Recognition from Vietnam National Innovation Center (NIC): https://web.facebook.com/NICVietnam.innovation/posts/pfbid0VRz6t5771yCjapDrypArumdPFXnkWbee29dJn4rEBo4KKQK2pZNTY2g6xXm2GhRyl
Measurable Impact:
• Served as a Student Ambassador at a national-scale innovation and technology expo.
• Promoted participation among university students in innovation and AI-related activities.
• Helped strengthen connections between students, researchers, startups, and technology organizations.
• Recognized by the Vietnam National Innovation Center with a Certificate of Appreciation for contributions to Vietnam’s innovation ecosystem.
</t>
  </si>
  <si>
    <t xml:space="preserve">https://github.com/Raouldev830
</t>
  </si>
  <si>
    <t xml:space="preserve">https://www.linkedin.com/in/washington-kimani/
</t>
  </si>
  <si>
    <t xml:space="preserve">I want to become a PyTorch Foundation Ambassador because I am passionate about advancing AI education, research, and open-source collaboration. As a student researcher working on Neural Architecture Search (NAS) and graph-based financial fraud detection, I have relied on PyTorch extensively for developing, training, and evaluating deep learning models. The framework has played a significant role in my academic and research growth.
Beyond research, I enjoy helping other students learn AI and machine learning. Through my involvement in university activities and national-scale innovation events, I have encouraged students to explore emerging technologies and participate in research and innovation programs. I believe many talented students can benefit from greater exposure to PyTorch and the open-source ecosystem.
As a PyTorch Foundation Ambassador, I hope to bridge the gap between students, researchers, and industry practitioners by organizing knowledge-sharing activities, promoting community engagement, and supporting newcomers. My goal is to help build a stronger, more inclusive PyTorch community while inspiring more students to contribute to open-source AI projects and research.
</t>
  </si>
  <si>
    <t xml:space="preserve">I want to increase my visibility publicly and make more open source contributions than I have in the past. Most of my work has been production deployments and under NDA, I feel it’s time to be a bit more public with my experience and make an impact on a framework that has changed my life and inspired me. I am also in San Francisco, capable of organizing meetings and connecting with fellow users of PyTorch 
</t>
  </si>
  <si>
    <t xml:space="preserve">Organizing community events and mentoring sounds enticing. I would enjoy connecting with fellow PyTorch users and understanding current pain points…things that are potentially missing from the library (similar to MCCL). Supporting local community here in San Francisco would also be very exciting
</t>
  </si>
  <si>
    <t xml:space="preserve">As a PyTorch Foundation Ambassador, I would contribute by promoting AI education, supporting student communities, and encouraging participation in open-source machine learning projects. My primary focus would be helping students and early-career researchers gain practical experience with PyTorch and modern deep learning techniques.
I plan to organize technical workshops, study groups, and knowledge-sharing sessions covering topics such as deep learning fundamentals, model development with PyTorch, and applied AI research. Through these activities, I hope to make PyTorch more accessible to students who are interested in AI but may lack guidance or learning resources.
I would also mentor students involved in research projects and encourage them to contribute to open-source initiatives. By sharing my experiences in areas such as Neural Architecture Search (NAS) and graph-based financial fraud detection, I can help bridge the gap between academic learning and real-world AI applications.
In addition, I would create educational content, including tutorials, project walkthroughs, and research summaries, to help learners understand PyTorch concepts and best practices. Leveraging my experience in organizing and promoting national-scale technology events, I would actively connect local AI communities with the broader PyTorch ecosystem, fostering collaboration, knowledge exchange, and long-term community growth.
</t>
  </si>
  <si>
    <t xml:space="preserve">- [x] Community Building
- [x] Technical Education
- [ ] Open Source Contributions
- [ ] Research &amp; Academia
- [ ] Developer Advocacy
- [ ] Mentorship
- [x] Events &amp; Workshops
- [x] Content Creation
- [x] Regional Community Growth
- [ ] Other
</t>
  </si>
  <si>
    <t xml:space="preserve">https://linkedin.com/in/ntui-raoul
</t>
  </si>
  <si>
    <t xml:space="preserve">- [x] Community Building
- [ ] Technical Education
- [x] Open Source Contributions
- [x] Research &amp; Academia
- [ ] Developer Advocacy
- [ ] Mentorship
- [x] Events &amp; Workshops
- [ ] Content Creation
- [x] Regional Community Growth
- [x] Other
</t>
  </si>
  <si>
    <t xml:space="preserve">Vietnam
</t>
  </si>
  <si>
    <t>I am a Computer Science (Talent Program) student at Hanoi University of Science and Technology with research interests in AI, Machine Learning, and Neural Architecture Search (NAS). 
My experience includes developing graph-based fraud detection systems using GNNs and PyTorch, as well as contributing to AI agent and LLM projects during internships at Bosch and SFIN. 
Beyond technical work, I served as a Student Ambassador for the Vietnam International Innovation Expo 2025, promoting innovation and technology among university students. 
I am passionate about open-source AI, knowledge sharing, and helping students access research and practical learning opportunities through community engagement and mentorship.</t>
  </si>
  <si>
    <t xml:space="preserve">- [x] PyTorch
- [x] vLLM
- [x] DeepSpeed
- [ ] Ray
- [ ] Helion
- [ ] Safetensors
- [ ] Other
</t>
  </si>
  <si>
    <t xml:space="preserve">- [x] Open source contributions
- [ ] Technical content creation
- [x] Community leadership
- [ ] Events or workshops
- [ ] Research or academic work
- [x] Mentorship
- [x] University or student outreach
- [ ] Translation or localization efforts
- [ ] Other
</t>
  </si>
  <si>
    <t xml:space="preserve">I have contributed to Google Developer Groups community,  Deep Learning Indaba X Cameroon  and not the Pytorch Foundation 
</t>
  </si>
  <si>
    <t xml:space="preserve">I have contributed to community projects that revolve around deep learning which led me to experimenting with approaches like transfer learning as demonstrated in [this project](https://github.com/Washington-Kimani/instrument_classification_model_flask)
I have also explored the application of classification models in Network Security as shown in [this notebook](https://www.kaggle.com/code/codenamekimani/network-intrusion-detection)
</t>
  </si>
  <si>
    <t xml:space="preserve">To grow, learn more and improve people's knowledge in my community around this interesting framework 
</t>
  </si>
  <si>
    <t xml:space="preserve">I have a great passion for machine learning and PyTorch has pioneered the betterment of the algorithms applied. I would love to represent  and educate enthusiastic students of technology about PyTorch.
</t>
  </si>
  <si>
    <t xml:space="preserve">As a former Google Developer Groups(GDG) on Campus organizer, I have a great passion for communities and workshops that facilitate the meeting of people with like minds. I would contribute as a PyTorch foundation Ambassador by doing all I have done:
-  Unlimited thrill for learning and teaching.
- Planning workshops and community events.
- Creating space for local talents to showcase their solutions.
</t>
  </si>
  <si>
    <t xml:space="preserve">By organizing workshops, hackathons, creating technical contents
</t>
  </si>
  <si>
    <t xml:space="preserve">- [x] Community Building
- [x] Technical Education
- [x] Open Source Contributions
- [x] Research &amp; Academia
- [ ] Developer Advocacy
- [x] Mentorship
- [x] Events &amp; Workshops
- [ ] Content Creation
- [x] Regional Community Growth
- [ ] Other
</t>
  </si>
  <si>
    <t xml:space="preserve">- [x] Community Building
- [x] Technical Education
- [ ] Open Source Contributions
- [ ] Research &amp; Academia
- [ ] Developer Advocacy
- [x] Mentorship
- [x] Events &amp; Workshops
- [ ] Content Creation
- [ ] Regional Community Growth
- [ ] Other
</t>
  </si>
  <si>
    <t xml:space="preserve">Kenya
</t>
  </si>
  <si>
    <t xml:space="preserve">Cameroon
</t>
  </si>
  <si>
    <t>Amara-ch</t>
  </si>
  <si>
    <t xml:space="preserve">Amara Tariq
</t>
  </si>
  <si>
    <t xml:space="preserve">Lahore, Punjab, Pakistan
</t>
  </si>
  <si>
    <t>General ML projects and prior GDG organizing show potential, but the application provides little PyTorch-specific impact, communication evidence, or a detailed execution plan.</t>
  </si>
  <si>
    <t xml:space="preserve">https://github.com/Amara-ch
</t>
  </si>
  <si>
    <t xml:space="preserve">https://www.linkedin.com/in/amara-tariq-2762ab331
</t>
  </si>
  <si>
    <t xml:space="preserve">- [x] Open source contributions
- [x] Technical content creation
- [ ] Community leadership
- [ ] Events or workshops
- [x] Research or academic work
- [x] Mentorship
- [x] University or student outreach
- [ ] Translation or localization efforts
- [ ] Other
</t>
  </si>
  <si>
    <t xml:space="preserve">As a final-year BS Data Science student at PUCIT (University of the Punjab), 
I have built and published multiple PyTorch-based projects that demonstrate 
both technical depth and community reach.
**Key Projects:**
- **CT Scan Lung Segmentation (U-Net + PyTorch):** End-to-end segmentation pipeline 
  trained on Kaggle GPU, achieving Dice coefficient of 0.913. Deployed publicly on 
  Streamlit Cloud. [GitHub: github.com/Amara-ch]
- **FocusGuard AI / FocusAI:** Student distraction monitoring system using 
  MediaPipe FaceMesh + TensorFlow.js, with a React frontend. Demonstrates 
  real-world CV application in education settings.
- **DocuMind AI:** RAG-based document Q&amp;A system using LangChain, ChromaDB, 
  and HuggingFace embeddings — showcasing applied NLP with open-source tooling.
- **YOLOv8 Object Detection Pipeline:** Custom training and inference pipeline 
  for real-time detection tasks.
- **PromptForge (in progress):** An IDE for AI prompts focused on token 
  efficiency and cost optimization, currently being built and promoted publicly 
  on LinkedIn.
**Mentorship &amp; Outreach:**
I tutor university and school students on Preply in Python, ML, AI, Math, and 
Physics — directly introducing beginners to PyTorch-based workflows.
**Academic Research:**
Also Working under Dr. Kamran Malik ,Arif Butt and Nadeem Majeed at PUCIT on an FYP targeting IEEE-publishable results in fingerprint privacy protection and extraction risks from media photos, with PyTorch as the primary framework."
Supporting link: https://github.com/Amara-ch
</t>
  </si>
  <si>
    <t>This nominee explicitly acknowledges having no contributions to PyTorch Foundation projects or communities, stating involvement only with GDG and Deep Learning Indaba X Cameroon without providing any verifiable evidence or specifics.</t>
  </si>
  <si>
    <t xml:space="preserve">Pakistan has a rapidly growing AI/ML student community but very limited access 
to structured open-source mentorship and international program exposure. 
PyTorch is the framework I use daily — from U-Net medical imaging to RAG systems 
to real-time computer vision — and it has been central to my academic and 
professional growth.
I want to become a PyTorch Ambassador to bridge that gap: to make PyTorch's 
ecosystem more accessible to students in emerging regions who have the drive 
but lack the guidance. Having personally navigated learning PyTorch without 
local mentors, I understand what's missing and want to be the resource I 
wish I'd had.
</t>
  </si>
  <si>
    <t xml:space="preserve">- **University Outreach:** Organize PyTorch-focused workshops and hands-on 
  sessions at PUCIT and neighboring universities in Lahore, targeting CS and 
  Data Science students with no prior deep learning exposure.
- **Content Creation:** Publish beginner-to-intermediate PyTorch tutorials on 
  LinkedIn and GitHub — covering medical imaging, NLP, and computer vision 
  use cases grounded in real project experience.
- **Mentorship:** Extend my current Preply tutoring into structured, 
  project-based mentorship for students building their first PyTorch models.
- **PromptForge + PyTorch Integration:** Document and share how PyTorch 
  models are evaluated and optimized within AI development workflows, 
  connecting the prompt engineering and model training communities.
- **Regional Community Growth:** Help establish or grow a Lahore-based 
  AI/ML open-source community, creating a local network for PyTorch learners 
  and contributors.
</t>
  </si>
  <si>
    <t xml:space="preserve">- [ ] Community Building
- [x] Technical Education
- [x] Open Source Contributions
- [x] Research &amp; Academia
- [ ] Developer Advocacy
- [x] Mentorship
- [ ] Events &amp; Workshops
- [ ] Content Creation
- [ ] Regional Community Growth
- [ ] Other
</t>
  </si>
  <si>
    <t>- Microsoft AI Skills Fest participant (2026) — completed AI learning playlist, 
  Credly badge earned
- Completed Andrew Ng's Deep Learning Specialization
- Internship experience at Innovaxel (built SPA project "Spendly")
- Active on LinkedIn sharing AI project updates and technical content
- GitHub: github.com/Amara-ch</t>
  </si>
  <si>
    <t>fahiiim</t>
  </si>
  <si>
    <t>Lagmator22</t>
  </si>
  <si>
    <t xml:space="preserve">Md. Fahim Sarker Mridul
</t>
  </si>
  <si>
    <t xml:space="preserve">Gurman Singh
</t>
  </si>
  <si>
    <t xml:space="preserve">Bangladesh
</t>
  </si>
  <si>
    <t xml:space="preserve">New Delhi, India
</t>
  </si>
  <si>
    <t xml:space="preserve">https://github.com/fahiiim
</t>
  </si>
  <si>
    <t xml:space="preserve">https://github.com/Lagmator22
</t>
  </si>
  <si>
    <t xml:space="preserve">https://linkedin.com/in/ouroboros22
</t>
  </si>
  <si>
    <t xml:space="preserve">https://www.linkedin.com/in/fahim153/
</t>
  </si>
  <si>
    <t xml:space="preserve">- [x] Open source contributions
- [ ] Technical content creation
- [ ] Community leadership
- [ ] Events or workshops
- [x] Research or academic work
- [ ] Mentorship
- [x] University or student outreach
- [ ] Translation or localization efforts
- [ ] Other
</t>
  </si>
  <si>
    <t xml:space="preserve">I got into the PyTorch/AI infrastructure space through OpenVINO, which sits right underneath a lot of the PyTorch deployment story. Since January 2026, I have merged 4 PRs into the OpenVINO monorepo at Intel, working directly with senior maintainers through full code review and CI cycles.
The contributions were all in C++: double-precision support for the Interpolate operator across Core, CPU, TEMPLATE, and ONNX frontends (PR #33572); formal NaN-handling semantics for TopK with undefined floating-point inputs (PR #33633); fixing ambiguous fmin/fmax calls for unsigned integer types in the GPU eltwise kernel, which unblocked Clip-op compilation for UINT8 (PR #33667); and aten::bincount support for the PyTorch frontend (PR #34485).
That last one is directly PyTorch-facing. Adding bincount to the PyTorch frontend means OpenVINO can now compile and run PyTorch models that use that op without manual workarounds.
On top of the PRs, I built OvaSearch from scratch, a native C++ multimodal RAG engine that runs Qwen2-VL, Llama-3.2-3B INT4, and bge-small-en-v1.5 embeddings entirely without a Python runtime. P50 retrieval latency is 6ms on Intel AIPC hardware. The maintainers at Intel saw it and selected it as the foundation for my GSoC 2026 project, OVAT, which is an agentic toolkit for routing AI workloads across CPU, GPU, and NPU on Intel AI PCs. I am currently building it under two Intel mentors: Freddy Chiu (Director of AI Software) and Dr. Ravi Panchumarthy.
I also contributed to Ghostfolio (PR #5725, TypeScript/Angular/NestJS) and did 8 Hacktoberfest PRs in 2025.
Supporting links:
https://github.com/openvinotoolkit/openvino/pull/33572
https://github.com/openvinotoolkit/openvino/pull/33633
https://github.com/openvinotoolkit/openvino/pull/33667
https://github.com/openvinotoolkit/openvino/pull/34485
https://github.com/Lagmator22/OvaSearch
</t>
  </si>
  <si>
    <t>Hardik510sh</t>
  </si>
  <si>
    <t xml:space="preserve">Most of the students I know at Thapar, and honestly at colleges across India, have never touched the actual inference stack. They use PyTorch for training, sometimes, but they do not know what happens after. They do not know how a model gets compiled, quantized, or deployed to real hardware. That gap matters more now than it ever did, because the hardware is getting interesting fast.
I want to fix that gap for the people around me. India has a huge student developer population and almost no one talking about PyTorch Foundation projects like vLLM, DeepSpeed, or the runtime layer in general. The community content that exists is mostly American, mostly cloud-focused, and mostly in English written for people who already know the infrastructure.
I got into this space because I wanted to run AI locally, privately, without paying OpenAI per token. That was a real problem I had. I ended up going deep into C++ inference engines because of it. I think a lot of students in India would do the same if someone showed them how.
</t>
  </si>
  <si>
    <t xml:space="preserve">I built a Framework "NeuroGebra" to make the Machine learning transparent and simplify to the students, where ive use Pytorch to make the bridge between NeuroGebra and Pytorch. Link- https://github.com/fahiiim/NeuroGebra
</t>
  </si>
  <si>
    <t xml:space="preserve">Hardik Singh
</t>
  </si>
  <si>
    <t xml:space="preserve">To grow my social network with knowledgeable persons.
</t>
  </si>
  <si>
    <t xml:space="preserve">My focus would be on two things.
First, university outreach. I am a second-year student at Thapar. I have access to the student community there and connections at other colleges through hackathons and programs like Perplexity Campus Partner. I want to run workshops specifically on the deployment and inference side of PyTorch, not just model training. Things like: how do you take a PyTorch model and get it running on edge hardware, how do you use vLLM for local inference, how does quantization actually work in practice.
Second, technical content in a format that works for Indian students. Most tutorials assume you have a GPU on a remote server. I do not. A lot of students here do not. I want to write and publish content about running PyTorch Foundation stack on consumer hardware, CPU-only setups, and Intel AI PCs, because that is what people actually have access to.
I also want to help new contributors get their first PR into PyTorch ecosystem projects. I went through that process myself with OpenVINO and I know which parts are confusing. I could mentor one or two students per cycle through their first open source contribution.
</t>
  </si>
  <si>
    <t xml:space="preserve">India 
</t>
  </si>
  <si>
    <t xml:space="preserve">- [ ] Community Building
- [x] Technical Education
- [x] Open Source Contributions
- [x] Research &amp; Academia
- [ ] Developer Advocacy
- [x] Mentorship
- [ ] Events &amp; Workshops
- [ ] Content Creation
- [x] Regional Community Growth
- [ ] Other
</t>
  </si>
  <si>
    <t>I am credited in the OpenVINO 2026 release notes alongside other community contributors. My GSoC 2026 project (OVAT) is a large-size project at around 350 hours, which is the highest tier Google offers, mentored by two respected and experienced Intel engineers. I also have an incoming research internship at IIT Ropar under Prof. Sudarshan Iyengar.
I built a React Native widget (QR Identity) that reached top 50 on Nothing Playground for Nothing Phone 3.
GitHub: https://github.com/Lagmator22
Portfolio: https://lagmator22.github.io/Lagmator22</t>
  </si>
  <si>
    <t>moncifem</t>
  </si>
  <si>
    <t xml:space="preserve">https://www.linkedin.com/in/hardik-singh-5b1a60257?utm_source=share_via&amp;utm_content=profile&amp;utm_medium=member_android
</t>
  </si>
  <si>
    <t xml:space="preserve">Moncif El-mouden
</t>
  </si>
  <si>
    <t xml:space="preserve">Supporting local or global AI communities
</t>
  </si>
  <si>
    <t xml:space="preserve">Paris
</t>
  </si>
  <si>
    <t xml:space="preserve">- [x] Community Building
- [x] Technical Education
- [x] Open Source Contributions
- [x] Research &amp; Academia
- [x] Developer Advocacy
- [ ] Mentorship
- [ ] Events &amp; Workshops
- [ ] Content Creation
- [x] Regional Community Growth
- [ ] Other
</t>
  </si>
  <si>
    <t xml:space="preserve">https://github.com/moncifem
</t>
  </si>
  <si>
    <t xml:space="preserve">- [x] PyTorch
- [ ] vLLM
- [x] DeepSpeed
- [ ] Ray
- [ ] Helion
- [ ] Safetensors
- [ ] Other
</t>
  </si>
  <si>
    <t xml:space="preserve">https://www.linkedin.com/in/moncif-el-mouden/
</t>
  </si>
  <si>
    <t xml:space="preserve">- [ ] Open source contributions
- [ ] Technical content creation
- [x] Community leadership
- [x] Events or workshops
- [ ] Research or academic work
- [x] Mentorship
- [x] University or student outreach
- [ ] Translation or localization efforts
- [ ] Other
</t>
  </si>
  <si>
    <t xml:space="preserve">I have been working on a project that has an impact on education, and for which one of the main technologies is Pytorch and vllm; a quick demo of the project that I had shared two years ago is the following https://www.linkedin.com/feed/update/urn:li:activity:7245526329624862722/
Today I also participate to Ilaas https://www.ilaas.fr/ which also use the technologies of Pytorch and vLLM. 
In this context, the contributions are the effective use of pytorch and vllm to serve models and have better performance and concurrency of users.
</t>
  </si>
  <si>
    <t xml:space="preserve">I believe this is going to be a very enriching experience, I've always wanted to teach and I will have to during my Phd, I think pytorch is one of the main bricks that should be learned today, and that's why I want to focus more into being one of the contributors to this community, or at least share much more knowledge in my region about it.
</t>
  </si>
  <si>
    <t xml:space="preserve">The nominee has been an active advocate for the PyTorch ecosystem through community building, developer education, hands-on workshops, hackathons, and AI-focused events that promote the adoption of open-source machine learning technologies.
As the Founder of HackBriven, the nominee has organized and supported numerous AI and developer community initiatives, reaching over 100,000 developers through community networks, events, hackathons, workshops, and online educational programs. Many of these initiatives have encouraged participants to build and deploy machine learning solutions using PyTorch and related open-source AI tools.
Key contributions include:
• Organizing AI-focused hackathons and developer events where participants leveraged PyTorch for computer vision, natural language processing, generative AI, and deep learning applications.
• Conducting workshops and technical sessions on modern AI development, helping students and early-career developers understand deep learning concepts, model training, inference, and AI deployment workflows.
• Mentoring developers, students, and hackathon teams, guiding them on implementing machine learning projects using open-source frameworks including PyTorch.
• Building partnerships with technology organizations, AI startups, and developer communities to increase awareness and accessibility of open-source AI technologies.
• Creating educational content, event resources, project guidance, and community discussions that encourage practical adoption of PyTorch-based workflows.
Community Impact:
• 100,000+ developers reached through HackBriven's community initiatives and partner networks.
• 7,000+ subscribers across community event platforms.
• 100+ technology communities engaged through collaborations and outreach.
• Multiple AI hackathons, workshops, and meetups organized across India.
• Hundreds of students and developers mentored through hackathons, project reviews, and technical guidance sessions.
The nominee has consistently championed open-source AI education and community-driven learning, helping developers gain practical experience with PyTorch and modern machine learning tools while fostering an inclusive and collaborative developer ecosystem.
Supporting Links:
• HackBriven: https://hackbriven.com
• GitHub: https://github.com/hackbriven
• LinkedIn: https://www.linkedin.com/company/hackbriven
• Event Community: https://lu.ma/hackbriven
Through these efforts, the nominee has contributed significantly to expanding awareness, education, and community engagement around PyTorch and open-source AI technologies.
</t>
  </si>
  <si>
    <t xml:space="preserve">Mainly blogposts through my website https://www.moncif.ai/blog  and maybe videos on youtube. And of course if there is anyone else in Paris, we could co orgonize meetups.
</t>
  </si>
  <si>
    <t>Strong emerging systems contributor with two verified merged OpenVINO PRs, but community/communication evidence is limited and two cited PRs were not merged at review time.</t>
  </si>
  <si>
    <t xml:space="preserve">- [x] Community Building
- [x] Technical Education
- [ ] Open Source Contributions
- [x] Research &amp; Academia
- [ ] Developer Advocacy
- [ ] Mentorship
- [ ] Events &amp; Workshops
- [ ] Content Creation
- [ ] Regional Community Growth
- [ ] Other
</t>
  </si>
  <si>
    <t xml:space="preserve">France
</t>
  </si>
  <si>
    <t xml:space="preserve">The nominee wants to become a PyTorch Foundation Ambassador because they believe open-source AI has the power to democratize access to machine learning education, innovation, and career opportunities for developers worldwide. PyTorch has become one of the most influential frameworks in modern AI, enabling researchers, students, startups, and enterprises to build impactful solutions, and the nominee is passionate about helping more people become part of this ecosystem.
As the Founder of HackBriven, the nominee has spent years building developer communities, organizing hackathons, workshops, and technical events that connect aspiring developers with emerging technologies. Through these initiatives, they have seen firsthand how access to the right tools, mentorship, and learning opportunities can transform careers and accelerate innovation.
As a PyTorch Foundation Ambassador, the nominee aims to:
• Expand awareness of PyTorch Foundation projects among students, developers, and AI practitioners.
• Organize workshops, hackathons, meetups, and educational programs focused on PyTorch and open-source AI.
• Support new contributors by creating learning pathways, mentorship opportunities, and community-driven initiatives.
• Strengthen collaboration between industry, academia, and developer communities to drive broader adoption of PyTorch.
• Promote diversity, inclusion, and accessibility within the AI and open-source ecosystem.
• Create educational content, tutorials, and technical resources that help developers build real-world AI applications using PyTorch.
The nominee views the Ambassador program as an opportunity to amplify the impact of PyTorch across emerging developer communities, particularly in India and other rapidly growing technology ecosystems. Leveraging HackBriven's network of 100,000+ developers, 7,000+ event subscribers, and partnerships with 100+ technology communities, they are committed to helping the PyTorch Foundation reach new audiences and empower the next generation of AI builders.
Ultimately, the nominee's motivation is to give back to the open-source ecosystem by fostering learning, collaboration, and innovation while helping more developers discover, contribute to, and succeed with PyTorch.
</t>
  </si>
  <si>
    <t>mravariya</t>
  </si>
  <si>
    <t xml:space="preserve">Mahesh Ravariya
</t>
  </si>
  <si>
    <t xml:space="preserve">Mumbai, Maharashtra, India
</t>
  </si>
  <si>
    <t xml:space="preserve">https://github.com/mravariya
</t>
  </si>
  <si>
    <t xml:space="preserve">https://www.linkedin.com/in/mravariya/
</t>
  </si>
  <si>
    <t xml:space="preserve">- [ ] Open source contributions
- [x] Technical content creation
- [x] Community leadership
- [x] Events or workshops
- [ ] Research or academic work
- [x] Mentorship
- [x] University or student outreach
- [ ] Translation or localization efforts
- [ ] Other
</t>
  </si>
  <si>
    <t xml:space="preserve">As a PyTorch Foundation Ambassador, the nominee would leverage their experience in community building, developer advocacy, and technical education to expand the reach and impact of PyTorch Foundation projects. Through HackBriven and its extensive network of developers, students, researchers, and technology communities, the nominee would actively promote learning, collaboration, and contribution within the PyTorch ecosystem.
Key areas of contribution include:
Community Events and Developer Engagement
• Organize PyTorch-focused workshops, hackathons, meetups, and AI community events across India and beyond.
• Introduce PyTorch Foundation projects to new audiences through hands-on learning experiences and real-world use cases.
• Collaborate with universities, startups, and technology communities to increase participation in the PyTorch ecosystem.
Mentorship and Contributor Growth
• Mentor students and early-career developers interested in machine learning and open-source contributions.
• Help new contributors navigate PyTorch projects, documentation, and community resources.
• Facilitate contributor onboarding sessions and community-led learning programs.
Educational Outreach
• Create beginner-to-advanced learning pathways that help developers adopt PyTorch effectively.
• Conduct technical sessions on deep learning, generative AI, computer vision, NLP, model deployment, and AI research using PyTorch.
• Support educational initiatives that make AI learning more accessible and inclusive.
Technical Advocacy and Content Creation
• Publish tutorials, guides, event recaps, and technical content showcasing PyTorch Foundation projects and best practices.
• Share success stories and practical applications built using PyTorch to inspire broader adoption.
• Promote PyTorch through social media, community platforms, and developer-focused channels.
Growing Local and Global AI Communities
• Connect PyTorch Foundation initiatives with HackBriven's network of 100,000+ developers and 100+ partner communities.
• Encourage collaboration between researchers, students, startups, and industry practitioners.
• Foster an inclusive and welcoming environment where developers from diverse backgrounds can learn, contribute, and innovate.
Over the next year, the nominee plans to organize multiple AI-focused events, workshops, and hackathons featuring PyTorch, while continuing to mentor aspiring contributors and create educational opportunities for the broader community. Their goal is to strengthen the PyTorch ecosystem by helping more developers discover, use, and contribute to open-source AI technologies.
</t>
  </si>
  <si>
    <t xml:space="preserve">I completed a Bachelor of Vocation (B.Voc.) in Artificial Intelligence and Data Science from Thakur College of Engineering and Technology (TCET), where I developed practical experience building machine learning and computer vision projects using PyTorch and OpenCV.
I am an AI and Data Science educator and community mentor who actively promotes the use of PyTorch across educational, hackathon, and student developer communities. As a Computer Science educator at Thakur School of Global Education and currently at Ryan Global School, I introduce students to AI, machine learning, deep learning, and computer vision concepts using PyTorch-based workflows. I help students understand neural networks, model training, dataset preparation, and real-world AI applications through project-based learning. I also support student-led AI, Data Science, and Machine Learning clubs where PyTorch is regularly used for experimentation, prototyping, and project development. Through these clubs, students gain hands-on experience building AI solutions and participating in technical competitions.
I have contributed to the broader developer ecosystem through hackathons and community programs. As a Hackathon Coach and Logistics Specialist with Major League Hacking (MLH), and as a volunteer with organizations such as CodePath, CodeDay, TechTogether, and Devfolio, I have mentored aspiring developers and helped participants explore AI and machine learning technologies, including PyTorch-based solutions.
I frequently serve as a hackathon mentor and judge across local technology events, where I guide teams on machine learning workflows, model selection, computer vision applications, and best practices for building AI-powered projects. Through these engagements, I have supported hundreds of students and early-career developers in learning and applying PyTorch.
Impact Highlights:
* Taught AI, ML, and computer science concepts to school students through structured classroom programs.
* Supported AI/ML student clubs and project-based learning initiatives.
* Mentored participants at multiple hackathons and developer events.
* Promoted practical adoption of PyTorch for deep learning and computer vision projects.
* Contributed to technology community growth through educational outreach and mentorship.
</t>
  </si>
  <si>
    <t xml:space="preserve">- [x] Community Building
- [ ] Technical Education
- [ ] Open Source Contributions
- [ ] Research &amp; Academia
- [x] Developer Advocacy
- [x] Mentorship
- [x] Events &amp; Workshops
- [ ] Content Creation
- [x] Regional Community Growth
- [ ] Other
</t>
  </si>
  <si>
    <t xml:space="preserve">Because I believe PyTorch is one of the most accessible and impactful frameworks for teaching and building modern AI solutions. Throughout my work as an educator, mentor, and community volunteer, I have seen how practical, hands-on learning with PyTorch helps students and developers gain confidence in machine learning and deep learning. My motivation is to expand access to high quality AI education, particularly for students and early career developers who may not otherwise have opportunities to learn from experienced practitioners. As an Ambassador, I would like to connect local educational communities with the broader PyTorch ecosystem, encourage open collaboration, and help more learners contribute to AI projects. I am especially interested in building bridges between schools, hackathons, developer communities, and industry initiatives. Through workshops, mentorship, educational content, and community events, I hope to help create an inclusive environment where learners can develop practical AI skills while engaging with the global PyTorch community.
</t>
  </si>
  <si>
    <t xml:space="preserve">I would focus on expanding PyTorch adoption through education, mentorship, and community engagement. My planned contributions include:
- Organizing regular workshops and community sessions focused on PyTorch fundamentals, deep learning, and computer vision.
- Supporting school and student AI clubs with structured learning paths and hands-on project guidance.
- Mentoring hackathon participants and early contributors who want to build AI-powered solutions using PyTorch.
- Creating educational content, tutorials, project walkthroughs, and learning resources for students and developers.
- Encouraging responsible and practical AI development through real-world projects and collaborative learning.
- Connecting local educational institutions and developer communities with PyTorch Foundation initiatives.
- Promoting community participation through hackathons, technical talks, coding challenges, and networking events.
- Helping identify and showcase successful student and community projects built with PyTorch.
</t>
  </si>
  <si>
    <t>aliphys</t>
  </si>
  <si>
    <t xml:space="preserve">Ali Jahangiri
</t>
  </si>
  <si>
    <t xml:space="preserve">Lund, Skåne, Sweden
</t>
  </si>
  <si>
    <t xml:space="preserve">github.com/aliphys
</t>
  </si>
  <si>
    <t xml:space="preserve">https://www.linkedin.com/in/ali-jahan
</t>
  </si>
  <si>
    <t xml:space="preserve">https://www.researchgate.net/profile/Ali-Jahangiri-6
</t>
  </si>
  <si>
    <t>sumantro93</t>
  </si>
  <si>
    <t xml:space="preserve">Sumantro Mukherjee
</t>
  </si>
  <si>
    <t xml:space="preserve">- [ ] Open source contributions
- [ ] Technical content creation
- [ ] Community leadership
- [ ] Events or workshops
- [x] Research or academic work
- [ ] Mentorship
- [ ] University or student outreach
- [ ] Translation or localization efforts
- [ ] Other
</t>
  </si>
  <si>
    <t xml:space="preserve">Bangalore, India
</t>
  </si>
  <si>
    <t xml:space="preserve">Teaching ML courses &amp; research paper
</t>
  </si>
  <si>
    <t xml:space="preserve">PyTorch is amazing. I want to be more involved with the ecosystem throughout my PhD. 
</t>
  </si>
  <si>
    <t xml:space="preserve">sumantro93
</t>
  </si>
  <si>
    <t xml:space="preserve">- Local events
- Blog posts
- Onboarding new users to PyTorch in the local community (Greater Copenhagen Area)
</t>
  </si>
  <si>
    <t xml:space="preserve">sumantrom
</t>
  </si>
  <si>
    <t xml:space="preserve">- [x] Community Building
- [ ] Technical Education
- [ ] Open Source Contributions
- [x] Research &amp; Academia
- [ ] Developer Advocacy
- [ ] Mentorship
- [x] Events &amp; Workshops
- [ ] Content Creation
- [ ] Regional Community Growth
- [ ] Other
</t>
  </si>
  <si>
    <t xml:space="preserve">https://www.linkedin.com/in/sumantrom/
</t>
  </si>
  <si>
    <t>Substantial education, hackathon mentorship, and reach to hundreds of learners; PyTorch use is practical and the proposed program is achievable.</t>
  </si>
  <si>
    <t xml:space="preserve">Sweden
</t>
  </si>
  <si>
    <t xml:space="preserve">- [x] PyTorch
- [x] vLLM
- [ ] DeepSpeed
- [ ] Ray
- [x] Helion
- [ ] Safetensors
- [ ] Other
</t>
  </si>
  <si>
    <t>This nominee has demonstrated solid community organizing capability with verified AI/ML events and legitimate tech partnerships, but shows no verifiable PyTorch Foundation-specific engagement, content, or track record.</t>
  </si>
  <si>
    <t>Copenhagen (Denmark) is effectively next door</t>
  </si>
  <si>
    <t xml:space="preserve">- [x] Open source contributions
- [x] Technical content creation
- [x] Community leadership
- [x] Events or workshops
- [ ] Research or academic work
- [ ] Mentorship
- [x] University or student outreach
- [ ] Translation or localization efforts
- [ ] Other
</t>
  </si>
  <si>
    <t xml:space="preserve">I have helped connect PyTorch with open-source developer communities, especially Fedora, Red Hat, India, and APAC. I spoke at the PyTorch community session at DevConf.IN 2024, where the event introduced PyTorch to students and professionals and discussed how Fedora can serve as a practical AI/ML development platform. I also spoke about Fedora AI policy and how contributors can start participating in AI/ML through Fedora.
I also helped organize PyTorch Meetup Singapore, an APAC community event that brought together engineers, researchers, and community builders for technical talks and conversations around PyTorch Foundation projects, vLLM, inference, distributed training, CI, community governance, and production AI.
In addition, I serve as Co-Chair of the PyTorch Foundation OSPO and Academic Outreach Working Group. In that role, I help support efforts that connect universities, students, academic researchers, maintainers, and OSPOs with PyTorch Foundation-hosted projects. The working group’s goals align closely with my own community work: improving open-source AI readiness, helping academic projects understand governance and licensing, and building stronger pathways for academic communities to adopt and contribute to PyTorch Foundation projects.
My community work is centered on one goal: make PyTorch approachable not only as a framework, but as an open-source ecosystem where students, engineers, researchers, and regional communities can contribute meaningfully
Supporting links:
PyTorch Foundation OSPO and Academic Outreach Working Group: https://github.com/pytorch-fdn/wg-ospo-and-academic-outreach
PyTorch Meetup Singapore: https://pytorch.org/blog/pytorch-meetup-singapore-a-milestone-in-apac/
Powering AI with PyTorch, Fedora, and Open Source Communities: https://pytorch.org/blog/pt-fedora-os-communities/
PyTorch Conference Europe Committee: https://events.linuxfoundation.org/pytorch-conference-europe/program/meet-the-committees/
Fedora Quick Docs for PyTorch: https://docs.fedoraproject.org/en-US/quick-docs/pytorch/
Served as a Reviewer for Pytorch Certified Associate Course
Programming Committee for :
* Pytorch EU Conference 2026
* MCP Dev Summit BLR 2026
* PyTorch Day India 2026
PyTorch Blog Review team
Helion Blog https://developers.redhat.com/articles/2026/04/24/200-lines-15-how-helion-rewriting-rules-gpu-programming
Currently working on a charter for BEAR WG with members in my team. 
Prior 2025 PyTorch Ambassador nomination: https://github.com/pytorch-fdn/ambassador-program/issues/184
Meetup.com BLR : https://www.meetup.com/pytorch-bengaluru/ (1200+ AI/ML Engineers and Students)
</t>
  </si>
  <si>
    <t xml:space="preserve">I want to grow PyTorch adoption and contribution pathways in India and APAC. There is a large and growing AI/ML developer community in this region, but many people need structured guidance, local events, practical examples, and mentorship to move from experimentation to meaningful open-source contribution.  I want to strengthen the bridge between academia, OSPOs, and PyTorch Foundation projects. As Co-Chair of the PyTorch Foundation OSPO and Academic Outreach Working Group, I see a major opportunity to help students, researchers, university labs, and open-source program offices understand how to participate in PyTorch Foundation projects in a sustainable way.
For me, being an Ambassador would not be a title; it would be a way to scale the work I am already doing: community building, contributor mentoring, technical education, event organizing, and open-source advocacy
</t>
  </si>
  <si>
    <t xml:space="preserve">**Community building and regional growth**
I would continue organizing and supporting PyTorch meetups, workshops, campus sessions, and community events in India and APAC. My goal is to help build recurring community touchpoints rather than one-off events. I want to help local communities form around PyTorch Foundation projects such as PyTorch, vLLM, Ray, Helion, and related ecosystem work.
**Contributor onboarding and mentorship**
I would run contributor-focused sessions that help new contributors understand how to navigate PyTorch and related repositories, file useful issues, participate in discussions, contribute documentation or tests, understand CI results, and move toward meaningful code contributions. I would especially like to help students and early-career engineers understand how upstream contribution works.
**Technical education and content**
I would create practical tutorials, quick-start guides, demos, and talks around PyTorch on Linux, Fedora, and open-source AI/ML developer environments. Topics I would focus on include PyTorch basics, model training workflows, testing and CI, package installation, PyTorch Foundation ecosystem projects, contributor workflows, and moving from local experimentation to reliable developer setups.
**OSPO and academic outreach**
Through the OSPO and Academic Outreach Working Group, I would help develop workshops, readiness guides, templates, and outreach material for universities, student groups, research labs, and academic OSPOs. I would focus on helping academic communities understand open-source governance, licensing, security, contributor workflows, and pathways into PyTorch Foundation-hosted projects.
**Feedback loop between users, contributors, and the Foundation**
I would use community events and contributor sessions to gather feedback from developers, students, and regional communities, then bring that feedback back into PyTorch Foundation discussions. This would help make the ambassador role a two-way bridge: promoting PyTorch outward while also helping the Foundation understand community needs on the ground.
</t>
  </si>
  <si>
    <t>ceasarwaweru</t>
  </si>
  <si>
    <t xml:space="preserve">Ceasar Waweru Kabue
</t>
  </si>
  <si>
    <t xml:space="preserve">Addis Ababa,Ethiopia
</t>
  </si>
  <si>
    <t xml:space="preserve">https://github.com/ceasarwaweru
</t>
  </si>
  <si>
    <t>mrinalchaturvedi27</t>
  </si>
  <si>
    <t xml:space="preserve">https://linkedin.com/in/ceasarwaweru
</t>
  </si>
  <si>
    <t xml:space="preserve">https://x.com/iamceasar_?s=11
</t>
  </si>
  <si>
    <t xml:space="preserve">Mrinal Chaturvedi
</t>
  </si>
  <si>
    <t xml:space="preserve">- [x] PyTorch
- [x] vLLM
- [ ] DeepSpeed
- [x] Ray
- [ ] Helion
- [x] Safetensors
- [ ] Other
</t>
  </si>
  <si>
    <t xml:space="preserve">Kanpur, Uttar Pradesh, India
</t>
  </si>
  <si>
    <t xml:space="preserve">https://github.com/mrinalchaturvedi
</t>
  </si>
  <si>
    <t>samyukthaareddy</t>
  </si>
  <si>
    <t xml:space="preserve">K.Samyukthaa Reddy
</t>
  </si>
  <si>
    <t xml:space="preserve">india , hyderabad
</t>
  </si>
  <si>
    <t xml:space="preserve">https://www.linkedin.com/in/mrinalchaturvedi27/
</t>
  </si>
  <si>
    <t xml:space="preserve">Over the past eight years, I have contributed to AI, machine learning, cybersecurity and open technology communities through research, mentorship, technical leadership and community engagement across Africa and globally.
My machine learning journey is grounded in both research and real-world application. I hold an MSc in Computer Science from Kenyatta University where I conducted research on long-range weather forecasting for Northern Kenya using neural network approaches. My work explored the use of AI for climate resilience and data-driven decision-making, resulting in peer-reviewed publications that contribute to the growing body of research applying machine learning to societal challenges.
Beyond research, I am deeply committed to expanding access to technical knowledge and opportunities. As a Technical Mentor with Develop for Good, I have supported aspiring technologists in software engineering, AI and emerging technologies, helping them strengthen both technical and professional skills. I have also mentored students and early-career professionals through university and community initiatives focused on digital skills development, innovation and responsible technology adoption.
My commitment to community building extends to leadership roles within global technology ecosystems. Through my engagement with ICANN, ISACA, the Internet Society and other international communities, I have contributed to knowledge-sharing initiatives, technical discussions and mentorship activities that promote broader participation in technology and open-source ecosystems. As an ICANN Fellow and RSSAC Caucus Member, I have collaborated with experts from around the world while advocating for greater representation and capacity building from emerging regions.
I have also contributed to the Apache ecosystem through participation and speaking engagements at Apache Community Over Code conferences sharing knowledge and engaging with global open-source communities.
Professionally, I have served as a Digital and Innovation Fellow and later Strategic Coordination Expert at the African Union Commission, supporting digital transformation, data-driven governance and innovation initiatives serving stakeholders across the African continent. This experience has enabled me to bridge the gap between researchers, developers, policymakers and practitioners, helping translate emerging technologies into meaningful impact.
I am particularly passionate about advancing open-source AI and expanding access to communities such as PyTorch. Throughout my career, I have consistently championed knowledge sharing, mentorship and collaborative learning, recognizing that the strength of any technology ecosystem lies in the community that surrounds it.
Impact Highlights:
- 8+ years of active involvement in AI, machine learning, cybersecurity and open technology communities.
- MSc research applying neural networks to climate resilience and weather forecasting challenges.
- Published multiple research papers and technical contributions in AI and machine learning.
- Mentored students and early-career professionals through academic, volunteer and professional initiatives.
- Supported digital transformation and innovation initiatives serving continental stakeholders through the African Union Commission.
- Participated in global fellowships, conferences and technical communities spanning Africa, Europe, North America and Asia.
- Advocated for inclusive technology development, capacity building and greater participation of underrepresented communities in emerging technologies.
Supporting Links:
- GitHub: https://github.com/ceasarwaweru
- LinkedIn: https://www.linkedin.com/in/ceasarwaweru
- Research Publication: https://journals.unesco.go.ke/index.php/jknatcom/article/view/178/122
- ICANN Profile: https://icannwiki.org/Ceasar_Kabue
- Additional links: https://tijer.org/tijer/papers/TIJER2410028.pdf
- Additional links: https://www.icann.org/ru/rssac/caucus/members?page=3
- Additional links: https://ir-library.ku.ac.ke/bitstreams/72a6c917-143a-4362-b121-3d945ec84247/download
- Additional links: https://www.linkedin.com/posts/business-work-management-share-7010908679260520448-cVDr/?utm_source=share&amp;utm_medium=member_desktop&amp;rcm=ACoAACWpvQEB3CrXyZFgQVKNlzp0OrGhtyQ_5dI
</t>
  </si>
  <si>
    <t xml:space="preserve">https://x.com/moon_chat7
</t>
  </si>
  <si>
    <t xml:space="preserve">https://github.com/samyukthaareddy
</t>
  </si>
  <si>
    <t xml:space="preserve">Quora (827K+ views): https://www.quora.com/profile/Mrinal-Chaturvedi-3/ • Medium: https://medium.com/@mrinalchaturvedi27
</t>
  </si>
  <si>
    <t xml:space="preserve">I want to become a PyTorch Foundation Ambassador because I believe the next chapter of artificial intelligence will be defined by who gets to participate in building it.
Today, transformative AI breakthroughs are reshaping industries, economies and societies. Yet billions of people remain underrepresented in the communities creating these technologies. As an African AI researcher, technology leader and advocate for digital inclusion, I am driven by a simple but powerful conviction: talent is universal but opportunity is not. Open-source communities like PyTorch have the ability to change that.
Throughout my journey from conducting machine learning research and mentoring emerging technologists to supporting digital transformation initiatives at the African Union Commission and participating in global technology communities I have seen firsthand how access to knowledge, mentorship and collaborative ecosystems can unlock extraordinary potential. I have also seen how many promising students, researchers and developers across Africa struggle to find pathways into the global AI community despite possessing the talent and determination to contribute.
What inspires me about the PyTorch Foundation is that it represents far more than a machine learning framework. My commitment to open-source collaboration has also been shaped through participation in global technology communities including ICANN and the Apache Software Foundation ecosystem where I have witnessed firsthand how community-driven innovation can create opportunities for contributors from every corner of the world. It is a global movement built on openness, collaboration and the belief that innovation accelerates when knowledge is shared freely. These values closely mirror my own commitment to empowering others through education, mentorship and community building.
As a PyTorch Foundation Ambassador, my goal would be to help expand the reach of PyTorch across Africa by creating opportunities for learning, contribution and leadership. I want to connect students with researchers, researchers with practitioners and local communities with the global PyTorch ecosystem. Through workshops, mentorship programs, technical content, university engagement and community events, I hope to lower barriers to participation and inspire more people to become builders rather than spectators in the AI revolution.
I am particularly passionate about ensuring that Africa is not only a consumer of AI technologies but also a contributor to the future of artificial intelligence. By strengthening local capacity, encouraging open-source participation and fostering inclusive communities, I hope to help cultivate a new generation of innovators who use PyTorch to solve meaningful challenges in health, climate resilience, agriculture, education, governance and beyond.
For me, becoming a PyTorch Foundation Ambassador is not simply an opportunity to represent a community. It is an opportunity to help shape one. To build bridges between global innovation and emerging talent. To create pathways where none previously existed. And to ensure that the future of AI is more inclusive, more collaborative and more representative of the world it seeks to serve.
</t>
  </si>
  <si>
    <t xml:space="preserve">https://www.linkedin.com/in/samyukthaa-reddy-085242331/
</t>
  </si>
  <si>
    <t xml:space="preserve">- [x] PyTorch
- [x] vLLM
- [x] DeepSpeed
- [ ] Ray
- [x] Helion
- [ ] Safetensors
- [ ] Other
</t>
  </si>
  <si>
    <t xml:space="preserve">As a PyTorch Foundation Ambassador, I would focus on one overarching mission: expanding who gets to participate in the future of artificial intelligence.
I believe one of the greatest opportunities for the PyTorch community is unlocking talent in regions that remain underrepresented in global AI ecosystems. Across Africa, I have encountered students, researchers, developers and entrepreneurs with extraordinary potential but limited access to mentorship, technical communities and pathways into open-source contribution. My goal as an Ambassador would be to help close that gap and transform interest in AI into meaningful participation and leadership within the PyTorch ecosystem.
I would contribute by building sustainable communities rather than isolated events. Leveraging my experience across academia, industry, international organizations and global technology communities, I would organize workshops, technical talks, university engagements, community meetups and collaborative learning initiatives that introduce more people to PyTorch while creating clear pathways for continued engagement. My objective would not simply be to increase awareness of PyTorch but to cultivate contributors, educators, researchers and future community leaders.
Education and mentorship would be central to my approach. Having mentored aspiring technologists and supported capacity-building initiatives throughout my career, I understand that talent flourishes when people have access to guidance and supportive communities. I would actively mentor students and early-career practitioners, helping them develop technical skills, confidence and a deeper understanding of open-source collaboration.
I would also contribute through technical advocacy and content creation. By developing tutorials, technical articles, practical demonstrations and locally relevant use cases, I would help showcase how PyTorch can be applied to address real-world challenges in areas such as climate resilience, agriculture, healthcare, education, governance and digital inclusion. I believe that when people see AI solving problems that matter in their own communities, adoption and innovation accelerate dramatically.
Beyond local engagement, I would serve as a bridge between emerging AI communities and the global PyTorch ecosystem. Through my experience working with international technology communities, open-source initiatives and multistakeholder networks, I have learned how to connect people, ideas and opportunities across borders. As an Ambassador, I would actively promote collaboration, encourage open-source participation and help ensure that talented individuals from underrepresented regions have a voice in shaping the future of AI.
Success for me would not be measured solely by the number of events organized or presentations delivered. It would be measured by the number of people who take their first step into the PyTorch community, the number of students who become contributors, the number of researchers who share their work openly and the number of future leaders who emerge from communities that previously lacked access to these opportunities.
Ultimately, I want to help ensure that the future of artificial intelligence is built by a truly global community. By expanding access, fostering inclusion, strengthening technical capacity and creating pathways for contribution, I hope to help PyTorch grow not only as a framework but also as a movement that empowers people everywhere to learn, build and innovate together.
</t>
  </si>
  <si>
    <t xml:space="preserve">I am a Computer Science student with a growing interest in Artificial Intelligence, Machine Learning, and open-source technologies. My current involvement with the PyTorch ecosystem focuses on learning, experimentation, and sharing knowledge with peers. I have been studying Python, exploring AI concepts, and building my technical foundation through projects, courses, and self-learning.
Within my college community, I actively discuss learning resources, opportunities, and emerging technologies with fellow students. I am particularly interested in helping beginners discover AI and open-source tools that can accelerate their learning journey.
While I am still early in my open-source journey and have not yet made major contributions to PyTorch Foundation projects, I am committed to becoming a more active contributor through learning, experimentation, community engagement, and educational outreach.
</t>
  </si>
  <si>
    <t xml:space="preserve">I want to become a PyTorch Foundation Ambassador because I believe AI education should be more accessible to students. As someone who is currently learning AI and machine learning, I understand the challenges beginners face when trying to enter the field. PyTorch has become one of the most widely used frameworks for AI research and development, and I would like to help more students discover and learn it.
The Ambassador program would allow me to grow as both a learner and a community contributor. I am excited about the opportunity to connect with other members of the PyTorch community, learn from experienced contributors, and share that knowledge with students in my region. My goal is to help build a supportive environment where students feel encouraged to explore AI and open-source technologies.
</t>
  </si>
  <si>
    <t xml:space="preserve">As a PyTorch Foundation Ambassador, I would focus on helping students discover and learn AI technologies through community engagement and educational initiatives. I would organize beginner-friendly learning sessions, share resources, create technical content, and encourage students to explore open-source projects.
I would also promote awareness of PyTorch within my college and local student communities by conducting workshops, study groups, and knowledge-sharing sessions. In addition, I would support fellow students who are starting their AI journey by connecting them with learning opportunities and relevant resources.
My primary goal would be to grow a welcoming local community where students can learn, collaborate, and gradually become contributors to the broader PyTorch ecosystem.
</t>
  </si>
  <si>
    <t xml:space="preserve">- [x] Community Building
- [x] Technical Education
- [x] Open Source Contributions
- [x] Research &amp; Academia
- [ ] Developer Advocacy
- [x] Mentorship
- [x] Events &amp; Workshops
- [x] Content Creation
- [x] Regional Community Growth
- [ ] Other
</t>
  </si>
  <si>
    <t xml:space="preserve">## Open Source Contributions
I am an LFX (Linux Foundation) Mentee with more than 347 open-source contributions in the past year. My work spans machine learning and cloud-native projects, including mlpack, Intel OpenVINO Toolkit, DIPY, Kubernetes, Volcano, WasmEdge, and Jaeger.
On GitHub, my contributions consist of approximately 72% commits, 17% pull requests, 7% code reviews, and 4% issues, reflecting hands-on involvement across the full open-source development lifecycle.
**GitHub:** https://github.com/mrinalchaturvedi
## Technical Content &amp; PyTorch Internals
I am building **Fluxions**, a machine learning framework from scratch in C++ using Eigen. This project helps me understand and teach the principles behind modern deep learning frameworks such as PyTorch.
As part of this effort, I wrote *"PyTorch Tensors Explained by Building Them in C++"*, an in-depth article covering tensor memory layout, strides, broadcasting semantics, and the architectural decisions that underpin frameworks like PyTorch.
* **Fluxions:** https://github.com/mrinalchaturvedi/fluxions
* **Article:** https://medium.com/@mrinalchaturvedi27/pytorch-tensors-explained-by-building-them-in-c-3f7096584a00
Beyond open source, I actively create educational content online. My Quora posts and answers have accumulated more than **827,000 views**, helping make technical concepts accessible to a broader audience. I also manage the **VERTEX KNOWLEDGE** educational space, where I curate learning resources for students and early-career developers.
## Research &amp; Academic Work
I am currently a researcher at **Exploration Labs, IIT Kanpur**, where I benchmark open-source large language models for Indian Sign Language (ISL) applications using PyTorch, vLLM, and modern open-source tooling on multi-GPU systems. This work has provided valuable experience in accessibility-focused AI, multimodal learning, and language technologies while highlighting the impact of PyTorch in real-world applications.
PyTorch is widely used across research groups at IIT Kanpur for deep learning, computer vision, and natural language processing, giving me firsthand exposure to how students and researchers adopt the framework in academic environments.
## Event Organizing &amp; Community Leadership
 Secretary, Astronomy Club, IIT Kanpur (Jun 2024 – Apr 2025)
* Led a 30-member organizing team for Astroventure 25, IIT Kanpur's flagship astronomy festival.
* Managed observation sessions for more than 3,000 participants.
* Organized a freshers' pavilion serving over 1,200 students and planetarium shows with more than 800 registrations.
* Coordinated outreach initiatives with NGOs including Shiksha Sopan, SINSME Foundation, and Rozi Shiksha Kendra.
 Secretary, Media &amp; Publicity, Entrepreneurship Cell, IIT Kanpur (Jun 2024 – May 2025)
* Led outreach and promotional campaigns for major entrepreneurship initiatives.
* Coordinated sponsor engagement, content creation, and community-facing communications.
 Events Organizer, Antaragni, IIT Kanpur
* Supported the planning and execution of competitions at one of India's largest cultural festivals.
* Coordinated logistics, promotion, participant engagement, and event operations.
## Mentorship &amp; Student Outreach
Through my leadership roles, technical writing, and open-source involvement, I have consistently worked to help students develop technical skills and engage with developer communities. My journey—from Civil Engineering to machine learning research and open-source contribution—has given me experience guiding students who are making similar transitions.
As a PyTorch Ambassador, I hope to combine my experience in open source, technical education, and community leadership to help more students move from learning PyTorch to actively contributing to its ecosystem and becoming long-term members of the community.
</t>
  </si>
  <si>
    <t>Fellowships and Global Engagement
- ICANN84 Fellow – Dublin, Ireland (2025)
- ICANN85 Fellow – Mumbai, India (2026)
- NextGen@ICANN80 Participant
- RSSAC Caucus Member
- Internet Society Member
- ISACA Member
- African Union Digital &amp; Innovation Fellowship Programme – Cohort II
Open Source Leadership and Community Engagement
- Speaker, Apache Community Over Code Denver 2024 (Apache Software Foundation)
- Speaker, Apache Community Over Code Minneapolis 2025 (Apache Software Foundation)
- Technical Mentor, Develop for Good
- Contributor to global discussions on AI, cybersecurity, Internet governance, digital trust and open-source technologies
- Active participant in international open-source, standards, and digital governance communities
Research and Publications
- MSc Computer Science Research: Long-Range Weather Forecasting Using Neural Networks
- Peer-reviewed publications in Artificial Intelligence and Machine Learning
- Research focused on climate resilience, predictive analytics and data-driven decision-making
Awards &amp; Recognition
- ISACA One In Tech Scholarship Recipient
- Connected Africa Cybersecurity Recognition
- Huawei ICT and Cybersecurity Competition Finalist
My work sits at the intersection of artificial intelligence, open-source technology, digital transformation and community building. Through research, mentorship, international fellowships, conference speaking and leadership within global technology communities, I remain committed to expanding access to AI knowledge and creating opportunities for emerging talent to participate in shaping the future of technology.</t>
  </si>
  <si>
    <t>I am currently pursuing a B.Tech in Computer Science and Engineering at KLH University, India. My primary areas of interest include Artificial Intelligence, Machine Learning, Python programming, and open-source technologies.
I am actively building my technical skills through self-learning, projects, certifications, hackathons, and community participation. I enjoy exploring emerging technologies and sharing useful learning resources with fellow students. In addition to academics, I am interested in student leadership and community-building initiatives that help create learning opportunities for others.
As I continue my AI journey, I am eager to contribute to the PyTorch ecosystem through educational outreach, technical content creation, workshops, and community engagement. I view the Ambassador program as an opportunity to learn from experienced contributors while helping more students discover and adopt open-source AI technologies.</t>
  </si>
  <si>
    <t xml:space="preserve">I want to become a PyTorch Ambassador because there is a significant gap between the widespread adoption of PyTorch at Indian universities and the availability of community support, mentorship, and contributor pathways. At IIT Kanpur, students and researchers use PyTorch extensively for coursework, research, and thesis projects. However, there are limited opportunities to connect with the broader PyTorch community or transition from users to open-source contributors.
My background combines technical expertise with community leadership. As an LFX Mentee in the Linux Foundation ecosystem and a contributor to multiple open-source projects, I have firsthand experience contributing to large technical communities. At IIT Kanpur, I have organized events that reached more than 3,000 participants, giving me experience in community building, outreach, and program execution. These experiences have prepared me to help grow and strengthen the PyTorch ecosystem.
PyTorch has also played a central role in my research and learning journey. At Exploration Labs, IIT Kanpur, I have used PyTorch to benchmark and evaluate large language models for Indian Sign Language research, gaining firsthand experience with its impact on accessibility-focused AI applications. Beyond using PyTorch, I am deeply interested in understanding how modern machine learning systems work under the hood. Through building Fluxions, a machine learning framework from scratch in C++, and writing educational content on tensor internals, I have developed a systems-level perspective that I hope to share with the broader community.
As a PyTorch Ambassador, I want to help students and developers move beyond simply using PyTorch to understanding its internals, contributing to its ecosystem, and building communities around it. Through educational content, workshops, mentorship, and outreach initiatives, I hope to make PyTorch more accessible while creating pathways for the next generation of contributors.
</t>
  </si>
  <si>
    <t xml:space="preserve">1. **Create a PyTorch Internals Education Series**
   I will develop a structured educational series that helps learners understand PyTorch beyond the API level. Building on my Fluxions project and my article *"PyTorch Tensors Explained by Building Them in C++"*, the series will cover tensor memory layout, autograd, custom operators, CUDA execution, and distributed training concepts. My goal is to bridge the gap between beginner tutorials and contributor-level understanding, enabling more developers to confidently engage with PyTorch internals and ecosystem projects.
2. **Launch a PyTorch User Group at IIT Kanpur**
   IIT Kanpur is one of India's leading engineering institutions, with thousands of students and researchers actively using PyTorch for machine learning, computer vision, NLP, and scientific computing. I plan to establish a dedicated PyTorch User Group and organize regular workshops, talks, and hands-on sessions covering topics from PyTorch fundamentals to multi-GPU training and model serving. These events will create a sustainable local community and provide students with opportunities to engage more deeply with the PyTorch ecosystem.
3. **Mentor Students Transitioning from Learning to Contributing**
   Drawing on my experience as an LFX Mentee and contributor across multiple open-source projects, I will help students move from learning machine learning concepts to making meaningful open-source contributions. Through contribution sprints, onboarding sessions, office hours, and mentorship programs, I aim to introduce newcomers to documentation improvements, testing, issue triage, and good-first-issues across PyTorch Foundation projects. My goal is to help transform PyTorch users into long-term contributors and community leaders.
4. **Develop Accessibility-Focused Educational Resources**
   Through my research on Indian Sign Language and multimodal AI systems, I have seen how PyTorch enables impactful accessibility applications. I plan to create tutorials, benchmark reports, reproducible notebooks, and technical guides demonstrating how PyTorch can be applied to accessibility-focused AI, Indian language technologies, and multimodal learning. These resources will showcase the real-world impact of PyTorch while making advanced topics more accessible to the broader community.
5. **Strengthen PyTorch Communities Across North India**
   Beyond IIT Kanpur, I will collaborate with student organizations, AI clubs, developer communities, and nearby institutions to organize PyTorch-focused talks, workshops, and contributor outreach initiatives. By leveraging my existing networks in academia and open source, I aim to expand awareness of PyTorch Foundation projects, encourage collaboration between communities, and create more opportunities for students and researchers to participate in the global PyTorch ecosystem.
</t>
  </si>
  <si>
    <t>**Key Links:**
- GitHub (347 contributions, 10+ orgs): https://github.com/mrinalchaturvedi
- Fluxions, C++ ML framework from scratch: https://github.com/mrinalchaturvedi/fluxions
- PyTorch Tensors Explained by Building Them in C++: https://medium.com/@mrinalchaturvedi27/pytorch-tensors-explained-by-building-them-in-c-3f7096584a00
- Sign-Language-Translation-Benchmark https://github.com/mrinalchaturvedi27/Sign-Language-Translation-Benchmark
- Quora (827K+ views, 166 followers): https://www.quora.com/profile/Mrinal-Chaturvedi
- LinkedIn: https://www.linkedin.com/in/mrinalchaturvedi27/
I am committed to the two-year Ambassador term and can dedicate 5 to 10 hours per month to PyTorch community activities.</t>
  </si>
  <si>
    <t>himanshud2611</t>
  </si>
  <si>
    <t xml:space="preserve">Isha Garg
</t>
  </si>
  <si>
    <t>Excellent broad research, mentorship, and pan-African community leadership, but the application gives limited evidence of prior PyTorch Foundation-specific engagement.</t>
  </si>
  <si>
    <t xml:space="preserve">https://github.com/IshaGarg1103
</t>
  </si>
  <si>
    <t>Youssefx64</t>
  </si>
  <si>
    <t xml:space="preserve">Youssef Taha Badawi
</t>
  </si>
  <si>
    <t xml:space="preserve">Cairo, Egypt
</t>
  </si>
  <si>
    <t xml:space="preserve">https://www.linkedin.com/in/isha-garg-300354285/
</t>
  </si>
  <si>
    <t xml:space="preserve">https://github.com/Youssefx64
</t>
  </si>
  <si>
    <t xml:space="preserve">https://x.com/slowdownisha
</t>
  </si>
  <si>
    <t>Bord</t>
  </si>
  <si>
    <t xml:space="preserve">https://www.linkedin.com/in/yousseftahaai/
</t>
  </si>
  <si>
    <t xml:space="preserve">This nominee demonstrates general open-source participation and technical interests but has zero engagement with PyTorch Foundation projects or communities, no contributions to the PyTorch ecosystem, and only surface-level understanding of PyTorch internals based on a single educational article. </t>
  </si>
  <si>
    <t xml:space="preserve">- [ ] Open source contributions
- [x] Technical content creation
- [x] Community leadership
- [x] Events or workshops
- [x] Research or academic work
- [ ] Mentorship
- [ ] University or student outreach
- [ ] Translation or localization efforts
- [ ] Other
</t>
  </si>
  <si>
    <t xml:space="preserve">PyTorch Projects: https://www.ishagarg.me/projects/
Community Work: https://www.ishagarg.me/work/
</t>
  </si>
  <si>
    <t>tavallaie</t>
  </si>
  <si>
    <t xml:space="preserve">I am an Artificial Intelligence and Data Science student at Beni-Suef National University with a strong focus on Generative AI, Natural Language Processing, and Deep Learning.
My contributions to the AI community include building and sharing AI projects, supporting fellow students in learning machine learning concepts, and actively participating in technical communities focused on AI and open-source technologies. I have developed several end-to-end AI applications, including Retrieval-Augmented Generation (RAG) systems, LLM-powered assistants, computer vision projects, and speech emotion recognition systems.
I regularly share my learning journey, project outcomes, and technical insights through professional platforms such as GitHub and LinkedIn. Through these activities, I aim to make AI concepts more accessible to students and aspiring engineers while encouraging practical, project-based learning.
Supporting Links:
* GitHub: https://github.com/Youssefx64
* LinkedIn: https://www.linkedin.com/in/yousseftahaai
* Hugging Face: https://huggingface.co/Youssefx64
My goal has always been to contribute to a collaborative learning culture where students and developers can learn, build, and grow together through open knowledge sharing and hands-on AI development.
</t>
  </si>
  <si>
    <t xml:space="preserve">Ali Tavallaie
</t>
  </si>
  <si>
    <t xml:space="preserve">Isha wants to become a PyTorch Foundation Ambassador because PyTorch has been central to how she learned, built, and shared deep learning work. As a student and builder focused on model post-training, reinforcement learning experiments, and practical AI systems, she has seen how PyTorch lowers the barrier between understanding an idea and actually implementing it.
Her motivation is to help more students, researchers, and early builders feel confident using PyTorch. She wants to contribute by creating beginner-friendly resources, sharing practical experiments, organizing learning sessions, and helping people understand topics like training loops, fine-tuning, evaluation, and research implementation in a clear and accessible way.
Through her work and public learning journey at ishagarg.me, Isha aims to make AI research and engineering more approachable for people who are just starting out, especially students who may not yet have access to strong research communities. As an Ambassador, she would be excited to support PyTorch Foundation projects, grow local and online communities, and help bridge the gap between research papers, code, and real-world learning.
</t>
  </si>
  <si>
    <t xml:space="preserve">Armenia and MENA 
</t>
  </si>
  <si>
    <t xml:space="preserve">I want to become a PyTorch Foundation Ambassador because PyTorch has played a significant role in my AI learning journey and project development. As someone passionate about AI education and community growth, I would like to help more students and developers discover the opportunities available through PyTorch Foundation projects and open-source AI ecosystems.
I believe that many talented students, especially in emerging regions, can benefit from stronger access to technical education, mentorship, and community support. Through the Ambassador Program, I hope to bridge that gap by promoting learning, collaboration, and open-source contribution while helping community members build practical AI skills.
</t>
  </si>
  <si>
    <t xml:space="preserve">Sharing learning and hacks
Organizing community events
Mentoring contributors
Educational outreach
Technical advocacy
</t>
  </si>
  <si>
    <t xml:space="preserve">As a PyTorch Foundation Ambassador, I would focus on technical education, community engagement, and student outreach.
My planned contributions include:
* Organizing educational sessions and workshops focused on PyTorch, Deep Learning, Generative AI, and LLM applications.
* Creating technical content, tutorials, and project walkthroughs to help beginners and intermediate learners.
* Supporting university students through mentorship and guidance on AI projects and career development.
* Encouraging participation in open-source AI initiatives and PyTorch Foundation projects.
* Building stronger connections between local AI communities and the global PyTorch ecosystem.
* Promoting responsible and practical use of AI technologies through hands-on learning experiences.
My objective is to help grow an inclusive and technically strong AI community while increasing awareness and adoption of PyTorch Foundation technologies.
</t>
  </si>
  <si>
    <t xml:space="preserve">https://github.com/tavallaie
</t>
  </si>
  <si>
    <t xml:space="preserve">- [x] Community Building
- [x] Technical Education
- [x] Open Source Contributions
- [x] Research &amp; Academia
- [x] Developer Advocacy
- [x] Mentorship
- [x] Events &amp; Workshops
- [ ] Content Creation
- [ ] Regional Community Growth
- [ ] Other
</t>
  </si>
  <si>
    <t xml:space="preserve">- [ ] Community Building
- [x] Technical Education
- [ ] Open Source Contributions
- [x] Research &amp; Academia
- [x] Developer Advocacy
- [x] Mentorship
- [x] Events &amp; Workshops
- [x] Content Creation
- [x] Regional Community Growth
- [ ] Other
</t>
  </si>
  <si>
    <t xml:space="preserve">Middle East
</t>
  </si>
  <si>
    <t xml:space="preserve">Egypt
</t>
  </si>
  <si>
    <t xml:space="preserve">https://www.linkedin.com/in/tavallaie/
</t>
  </si>
  <si>
    <t xml:space="preserve">[AliTavallaie](https://x.com/AliTavallaie)
</t>
  </si>
  <si>
    <t xml:space="preserve">- [x] PyTorch
- [x] vLLM
- [ ] DeepSpeed
- [ ] Ray
- [x] Helion
- [x] Safetensors
- [ ] Other
</t>
  </si>
  <si>
    <t xml:space="preserve">- [x] Open source contributions
- [x] Technical content creation
- [x] Community leadership
- [x] Events or workshops
- [ ] Research or academic work
- [x] Mentorship
- [ ] University or student outreach
- [x] Translation or localization efforts
- [ ] Other
</t>
  </si>
  <si>
    <t>stha-sanket</t>
  </si>
  <si>
    <t xml:space="preserve">For the **last 10 years**, I have been actively involved in the [Tehran Linux User Group and Tehran Python User Group](https://tehlug.org/) as well as the [Sharif AI Challenge](https://github.com/orgs/SharifAIChallenge) as a managing member.
We have organized more than **270 meetups** with an average of **200 participants**. These events are volunteer-driven, free of charge, and occasionally funded personally by the organizing team without any sponsors. We have also held at least [4 meetups about PyTorch](https://github.com/search?q=repo%3Atehlug%2Ftehlug.org%20%20%D9%87%D9%88%D8%B4%20%D9%85%D8%B5%D9%86%D9%88%D8%B9%DB%8C%20&amp;type=code).
Last year, I volunteered to teach AI courses for students in Iran, with more than 360 participants. I am currently teaching AI and use **Dive into Deep Learning (D2L.ai)** as a main reference, specifically the **PyTorch version of the book**. I was also involved in the Persian translation of Think Python.
I actively support and help individuals from across the world, including **Qatar, Oman, India, Turkey, and Armenia.**
I was once nominated for the [PSF Fellow](https://wiki.python.org/moin/PythonSoftwareFoundation/FellowNominations#:~:text=Python%2DCommunity%2D15b86d32e4fa8054b637d70d8056bd83-,Ali%20Tavallaie,-I%2C%20Naghmeh%20Sharifi) for my activities in the Python community.
I have contributed to numerous open-source projects, ranging from **CPython to** [**Perth**](https://github.com/resemble-ai/Perth).
I am currently seeking greater involvement with **PyCon and PyData Armenia**.
I am also a [Python Software Foundation Diversity and Inclusion Working Group Member](https://psf.github.io/diversity-and-inclusion-wg/members.html) and the Representative for the MENA region.
</t>
  </si>
  <si>
    <t xml:space="preserve">Sanket Shrestha
</t>
  </si>
  <si>
    <t xml:space="preserve">Kathmandu, Nepal
</t>
  </si>
  <si>
    <t xml:space="preserve">In the MENA region, sponsors, universities, and institutions often chase big global names when deciding whom to support.
A recent experience perfectly captured this: I was talking with motivated students who wanted to run hands-on meetups focused on coding and contributing to open-source AI focus projects (one of my favorite hobbies). We needed a simple venue to gather and work. So, as the Python Software Foundation MENA Representative, I reached out to several institutes in Yerevan. Their reply? “We are focusing only on AI and won’t get involved with Python” 😂
This is exactly why I want to become a **PyTorch Foundation Ambassador**:
1. To show that people from our region whether in **Armenia, Turkey, other Arab countries or etc** can actively contribute to major global open-source AI projects, no matter where we are.  
2. To use the strong recognition of the PyTorch Foundation to open doors, organize more hands-on workshops and meetups, and help grow vibrant **PyTorch communities** across the MENA region.
</t>
  </si>
  <si>
    <t xml:space="preserve">I will primarily focus on:
- **Organizing community events**: Regularly hosting hands-on PyTorch workshops and meetups in Armenia to build a strong local community.  
- **Educational outreach**: Teaching PyTorch-based AI courses for students and developers 
- **Content creation**: Producing tutorials and educational materials in Persian and Armenian to make PyTorch more accessible in the region.
I’m also open to contributing in other areas such as mentoring or technical advocacy wherever I can help grow the PyTorch community in Armenia.
</t>
  </si>
  <si>
    <t xml:space="preserve">https://github.com/stha-sanket
</t>
  </si>
  <si>
    <t xml:space="preserve">- [x] Community Building
- [x] Technical Education
- [x] Open Source Contributions
- [ ] Research &amp; Academia
- [x] Developer Advocacy
- [ ] Mentorship
- [x] Events &amp; Workshops
- [x] Content Creation
- [x] Regional Community Growth
- [ ] Other
</t>
  </si>
  <si>
    <t xml:space="preserve">Armenia
</t>
  </si>
  <si>
    <t xml:space="preserve">https://www.linkedin.com/in/sanketstha/
</t>
  </si>
  <si>
    <t>I am a maintainer of [pgmq](https://github.com/pgmq/pgmq-py). I got involved in this project to build a stateless worker for distributing AI workloads across multi-region GPU clusters.
The core [pgmq extension](https://github.com/pgmq/pgmq) has been adopted by several notable projects, including [Supabase](https://supabase.com/modules/queues), [Pipecat](https://github.com/pipecat-ai/pipecat), and many other interesting initiatives.
The pgmq Python library is now among the [top 10% most downloaded Python libraries on PyPI](https://clickpy.clickhouse.com/dashboard/pgmq) .</t>
  </si>
  <si>
    <t xml:space="preserve">Ollama
</t>
  </si>
  <si>
    <t>FarahAbdo</t>
  </si>
  <si>
    <t xml:space="preserve">Farah Abdou
</t>
  </si>
  <si>
    <t xml:space="preserve">- [ ] Open source contributions
- [ ] Technical content creation
- [x] Community leadership
- [x] Events or workshops
- [x] Research or academic work
- [x] Mentorship
- [ ] University or student outreach
- [ ] Translation or localization efforts
- [ ] Other
</t>
  </si>
  <si>
    <t xml:space="preserve">Aswan, Egypt
</t>
  </si>
  <si>
    <t xml:space="preserve">https://github.com/FarahAbdo
</t>
  </si>
  <si>
    <t>Maxxtra</t>
  </si>
  <si>
    <t xml:space="preserve">I have made some contribution in github where i have posted repo on using Local LLM systems for specific domain like schools and offices and made it suitable for both CPU based and GPU based system, where i have also make a human robot named AURA recently which we have not posted in linkeidn but i can share the code i have opensourced in github:
COde of AURA robot: https://github.com/stha-sanket/Stuffing-AURA-RAG
Code of CPU based local RAG Chatbot: https://github.com/stha-sanket/cpu-hybrid-rag-trial
I was also one of the supportive of first ever pytorch event here in Nepal conducted by Arun Bhandari, where i got to attend the session and was also an active volunteer helping manage the event and logistics, link to video: https://www.linkedin.com/posts/thegauravgiri_pytorchmeetup-aicommunity-deeplearning-ugcPost-7413243181074440192-yLIR?utm_source=share&amp;utm_medium=member_desktop&amp;rcm=ACoAAEN5bz0Bh0DCsgMSzcGbrsU-lVLce8Dt43A
I have not specifically done python only mentorship to students but i can proudly say i have done more than 10+ mentorship to individual from school level kids from nepal, to bachelor students from India
here are some post of their products:
https://www.linkedin.com/posts/sanketstha_krishna-2ndposition-2nd-activity-7388272188279250944-PIuX?utm_source=share&amp;utm_medium=member_desktop&amp;rcm=ACoAAEN5bz0Bh0DCsgMSzcGbrsU-lVLce8Dt43A
https://www.linkedin.com/posts/priyanka-khatri07_everyone-talks-about-building-rag-systems-ugcPost-7412503494357745664-QOOS?utm_source=share&amp;utm_medium=member_desktop&amp;rcm=ACoAAEN5bz0Bh0DCsgMSzcGbrsU-lVLce8Dt43A
https://www.linkedin.com/posts/sanketstha_interschoolhackathon-hackathonmentor-teamturing-activity-7291498606186901504-u_C9?utm_source=share&amp;utm_medium=member_desktop&amp;rcm=ACoAAEN5bz0Bh0DCsgMSzcGbrsU-lVLce8Dt43A
also talking about the workshops and event i have conducted may not directly relate with pytorch but i have done more than 20 events myself as one of the organizing body let me share some of the events:
https://www.linkedin.com/posts/sanketstha_ai-deeplearning-machinelearning-activity-7305271993312952320-zZRU?utm_source=share&amp;utm_medium=member_desktop&amp;rcm=ACoAAEN5bz0Bh0DCsgMSzcGbrsU-lVLce8Dt43A
https://www.linkedin.com/posts/sanketstha_deeplearningai-ai-datascience-activity-7311651998771097601-GYsw?utm_source=share&amp;utm_medium=member_desktop&amp;rcm=ACoAAEN5bz0Bh0DCsgMSzcGbrsU-lVLce8Dt43A
https://www.linkedin.com/posts/sanketstha_datascience-artificialintelligence-unconferenceday-activity-7244167447035969537-LRmf?utm_source=share&amp;utm_medium=member_desktop&amp;rcm=ACoAAEN5bz0Bh0DCsgMSzcGbrsU-lVLce8Dt43A
https://www.linkedin.com/posts/sanketstha_dcdonates-dc-sunwaysrc-activity-7220490600477868032-2rRQ?utm_source=share&amp;utm_medium=member_desktop&amp;rcm=ACoAAEN5bz0Bh0DCsgMSzcGbrsU-lVLce8Dt43A
</t>
  </si>
  <si>
    <t xml:space="preserve">Costin-Alexandru Deonise
</t>
  </si>
  <si>
    <t xml:space="preserve">https://www.linkedin.com/in/farah-m-abdou-1a8a31222/
</t>
  </si>
  <si>
    <t xml:space="preserve">i have always been someone who enjoys building things and learning by doing this all happened cause my seniors encouraged me to go to these events and participate Over time, I realized that I also enjoy helping others learn and grow like how i once was, like how my senior treated me i want to spend more time mentoring people who are starting their journey in AI and machine learning and sharing the knowledge i have gained from my own experiences cause i am passionate about it love to share about it.
So i am interested in building a community of my own this time cause i want to step once outside the guidance of my seniors and move toward learning and accomplishing things on my own, but i wont be forgetting to create a space where people can connect, learn, and support each other by which i was raised like. i really really believe that strong communities help people stay motivated and grow faster so the PyTorch Ambassador program is a great opportunity for me to meet more people in this ecosystem that i love, learn from experienced community members, and build meaningful connections. At the same time, i want to use this opportunity to give back by helping newcomers, answering questions, sharing resources, and encouraging others to start building with confidence.
</t>
  </si>
  <si>
    <t xml:space="preserve">Bucharest, Romania
</t>
  </si>
  <si>
    <t xml:space="preserve">https://github.com/Maxxtra
</t>
  </si>
  <si>
    <t xml:space="preserve">i want to firstly start a education events and workshop while also creating educational content, i see that with the growth of ai we are not getting updated in sense of building cause many of the user are consuming ai not building their own i want to first conduct event to bring the spark of building your own LLM, using local LLM, finetunning it, making cool projects like your own jarvis 
i also want to start a research group in discord that will be the main community where people can share their journey insight and project while also being a hub to add contributors to do a specific research on Text to Speech on Nepali Dilect cause while i was working on this there is so much challenges and issue in the open source versions
while doing this i will also conduct educaitonal content capturing the moment and also share insight and all the memories we had throught the time
</t>
  </si>
  <si>
    <t xml:space="preserve">https://www.linkedin.com/in/alexdeonise/
</t>
  </si>
  <si>
    <t xml:space="preserve">Over the past 3+ years, I have actively contributed to the AI/ML ecosystem through PyTorch-based research, technical education, and community building, with a strong focus on underrepresented regions and languages.
**Technical Work &amp; Research:**
- I build and evaluate deep learning, NLP, and speech systems using PyTorch and the Hugging Face/PyTorch ecosystem, including Arabic text-to-speech and multilingual model evaluation.
- I contributed to `pytorch-forecasting` (foundation model integration) and developed `DadmaTools`, a Python NLP library.
- I co-authored "Findings of the First Mentorship in Speech Translation" (MT Summit / ACL Anthology, 2025), using PyTorch-based modeling.
- I lead LangGap, an open research initiative measuring AI language gaps across 12 low-resource languages using PyTorch-based evaluation pipelines.
**Technical Content Creation:**
- Tutorial Writer for Real Python; technical blogger for Microsoft Tech Community (3+ years) and Alibaba Cloud —&gt; reaching a global developer audience with PyTorch and ML content.
- IBM Champion (Gold Level) 2026, Microsoft Learn Student Ambassador, Alibaba Cloud MVP.
- Speaker at Azure Cosmos DB Conference 2026 and ARIC Hamburg on AI pipelines and governance.
**Community Leadership &amp; Mentorship:**
- Founder, Omdena Aswan Chapter —&gt; Upper Egypt's first structured applied AI community.
- Databricks Community Organizer (Egypt), running ML sessions and workshops.
- AI/ML Instructor for the Digital Egypt Youth Program (NTI) and ECRAiL Program.
- Active contributor to Cohere Labs ML Understanding Open Research Group.
- Mentor for Technovation AI Ventures Accelerator.
**Supporting Links:**
- GitHub: https://github.com/FarahAbdo
- LinkedIn: https://www.linkedin.com/in/farah-m-abdou-1a8a31222
- ACL Anthology paper: https://aclanthology.org/2025.mtsummit-2.8/
- Microsoft Tech Community: https://techcommunity.microsoft.com/blog/adformysql/tutorial-building-ai-agents-that-talk-to-your-azure-database-for-mysql/4504995
- Cambridge Publication: https://papers.ssrn.com/sol3/papers.cfm?abstract_id=6674099
**Measurable Impact:**
- Founded a regional AI community in an underserved area of Egypt
- Taught ML to multiple national/student cohorts (dozens of developers)
- Published tutorials reaching an international audience over 3+ years
</t>
  </si>
  <si>
    <t>Exceptional long-term community leadership, 270+ meetups, PyTorch teaching, localization, and a realistic regional plan; strong ambassador fit.</t>
  </si>
  <si>
    <t xml:space="preserve">PyTorch has been the foundation of nearly all my technical work, from Arabic speech systems and multilingual model evaluation to the tutorials I write for global developer audiences. I want to give back to the ecosystem that shaped my career.
I am especially motivated to grow PyTorch adoption in Egypt and the broader MENA region, where access to high-quality, hands-on ML education remains limited. As someone who founded an applied AI community in Upper Egypt (one of the most underserved areas for tech education) I have seen firsthand how the right tools, tutorials, and community support can transform careers.
The PyTorch Foundation explicitly encourages representation from Africa and the Middle East. I want to be the bridge that connects learners in my region to the global PyTorch ecosystem, helping them move from watching tutorials to writing reproducible experiments, building real projects, and eventually contributing to open source.
Becoming a PyTorch Ambassador would let me formalize and scale the educational, content, and community work I already do, with the backing and visibility of the Foundation.
</t>
  </si>
  <si>
    <t>some research i have done:
https://www.linkedin.com/posts/supriyakhadka_this-post-is-dedicated-to-my-mentees-at-sunway-ugcPost-7461615741264478208-xtcn?utm_source=share&amp;utm_medium=member_desktop&amp;rcm=ACoAAEN5bz0Bh0DCsgMSzcGbrsU-lVLce8Dt43A
https://www.linkedin.com/posts/sunwaycollegektm_sunway-research-team-at-ncci-ku-with-4-papers-activity-7365725081538297856-2_DB?utm_source=share&amp;utm_medium=member_desktop&amp;rcm=ACoAAEN5bz0Bh0DCsgMSzcGbrsU-lVLce8Dt43A</t>
  </si>
  <si>
    <t xml:space="preserve">As a PyTorch Foundation Ambassador, I would focus on three pillars:
**1. Technical Education &amp; Content Creation:**
- Produce high-quality PyTorch tutorials, blog posts, and notebooks on practical deep learning, NLP, multilingual AI, and speech —&gt; building on my existing work with Real Python and Microsoft Tech Community.
- Create a "PyTorch for Arabic NLP" learning track on GitHub with beginner-friendly notebooks.
- Highlight PyTorch Foundation ecosystem projects (vLLM, Safetensors) in content about LLM deployment.
**2. Regional Community Growth &amp; Events:**
- Organize at least one PyTorch-focused workshop or study session per quarter for Egypt/MENA developers.
- Host hands-on sessions: "Getting Started with PyTorch," "PyTorch for NLP," "Fine-tuning Transformers," "Speech AI with PyTorch."
- Leverage my existing networks (Omdena Aswan, Databricks Egypt, NTI, university outreach) to reach new learners.
**3. Open Source Mentorship:**
- Mentor students and early-career developers on making their first open-source contributions to PyTorch-affiliated projects.
- Create onboarding guides and run contribution sprints for developers in the Global South.
- Help learners understand documentation, issue reporting, and clean notebook standards.
**First-year targets:**
- 4+ quarterly workshops/study sessions
- 4–6 published PyTorch tutorials or notebooks
- Mentor 5+ new contributors from Egypt/MENA
- Share regional success stories with the PyTorch Foundation community
</t>
  </si>
  <si>
    <t xml:space="preserve">My contributions to the PyTorch ecosystem are primarily through education, mentorship, applied machine learning projects, and community-building in Romania and Eastern Europe.
I have used PyTorch extensively in applied AI and research settings, including speech activity detection, speaker diarization, automatic speech recognition, NLP pipelines, transformers, and machine learning evaluation systems. My work includes building and benchmarking AI systems over large-scale audio datasets, developing production-oriented ML pipelines, and mentoring students on practical deep learning workflows. While my public contributions are not focused on PyTorch core pull requests, my impact has been in helping students, early-career engineers, and competition participants understand and apply PyTorch-based machine learning methods in real projects.
I am an Associate Lecturer at the University POLITEHNICA of Bucharest, where I have supported teaching across programming, parallel and distributed algorithms, numerical methods, and machine learning-related subjects. I have also been involved in national AI education initiatives, including the Romanian National Artificial Intelligence Olympiad, the International Artificial Intelligence Olympiad national selection, and the Machine Learning Security and Privacy Summer School. Through these activities, I have helped design educational material, mentor participants, explain model training and evaluation pipelines, and support the development of practical AI skills.
I have also mentored 45 NLP teams during the Nitro NLP Hackathon, guiding participants through model fine-tuning, evaluation, and applied NLP experimentation. This mentorship aligns strongly with the PyTorch Foundation Ambassador mission: helping new users learn, build, and participate in the machine learning ecosystem.
If selected as a PyTorch Ambassador, I would focus on growing the PyTorch community in Romania and Eastern Europe by organizing hands-on workshops for students and junior engineers, creating beginner-to-intermediate tutorials on PyTorch, transformers, fine-tuning, model evaluation, and deployment, and supporting local AI competitions and educational initiatives with practical PyTorch-based resources.
</t>
  </si>
  <si>
    <t xml:space="preserve">I want to become a PyTorch Foundation Ambassador because I believe PyTorch is one of the most effective ways to help students, researchers, and engineers move from theory to real machine learning systems. My motivation is to grow the PyTorch community in Romania and Eastern Europe by making practical deep learning education more accessible, especially for students and early-career engineers who want to build real projects but lack structured guidance.
My background combines applied AI engineering, academic teaching, research, and mentorship in AI competitions and workshops. I have seen how much impact hands-on education can have when people are guided through real workflows such as model training, fine-tuning, evaluation, deployment, and debugging. As an Ambassador, I would like to organize PyTorch-focused workshops, create practical tutorials, mentor new users, and support local AI communities with resources that are both technically rigorous and beginner-friendly.
I am especially interested in helping bridge the gap between academic machine learning and production-oriented AI systems. PyTorch is central to that bridge, and I would be proud to represent and support the Foundation’s mission of building an open, inclusive, and global machine learning ecosystem.
</t>
  </si>
  <si>
    <t>**Additional achievements and context:**
- IBM Champion, 2026
- Microsoft Learn Student Ambassador (2024–present)
- Databricks Community Organizer, Egypt
- Alibaba Cloud MVP
- Founder, Omdena Aswan Chapter
- AI Research Analyst, Cambridge Centre for Alternative Finance
- Founder, LangGap: multilingual AI evaluation across 12 low-resource languages
- Co-author, MT Summit / ACL Anthology (2025)
- O'Reilly Live Training Instructor (Voice AI, GenAI on Databricks, scheduled)
- AI Instructor, ECRAiL Program, Aswan (June 2026)
I bring a rare combination of technical depth (PyTorch-based research/engineering), proven global content reach, and active community leadership in an explicitly underrepresented region, directly aligned with the Foundation's goal of expanding PyTorch globally.
I would be honored to represent PyTorch in Egypt and across the Arabic-speaking AI community.</t>
  </si>
  <si>
    <t xml:space="preserve">As a PyTorch Foundation Ambassador, I would contribute by building a stronger local PyTorch community in Romania and Eastern Europe, with a focus on practical education, mentorship, and applied AI development.
He would organize hands-on PyTorch workshops for students, researchers, and early-career engineers, covering topics such as deep learning fundamentals, transformers, fine-tuning, model evaluation, retrieval-augmented generation, and deployment. These sessions would be designed to help participants move from theory to working PyTorch projects, with reproducible notebooks, clear explanations, and real-world examples.
He would also mentor new PyTorch users through university courses, AI competitions, hackathons, and community events. Based on my experience as an academic instructor, AI Olympiad committee member, and NLP hackathon mentor, I would support learners in understanding model training, debugging, experimentation, and evaluation workflows.
In addition, I would create educational content such as tutorials, workshop materials, blog-style explanations, and open-source examples focused on practical PyTorch usage. A particular goal would be to make high-quality PyTorch learning resources more accessible to students in Romania and Eastern Europe, while also encouraging contributors to engage with the broader PyTorch ecosystem.
Finally, I would advocate for PyTorch in applied AI and research communities by connecting academic machine learning, engineering practice, and open-source collaboration. My contribution as an Ambassador would be centered on growing an inclusive, technically strong, and hands-on PyTorch community.
</t>
  </si>
  <si>
    <t xml:space="preserve">- [x] Community Building
- [x] Technical Education
- [x] Open Source Contributions
- [x] Research &amp; Academia
- [x] Developer Advocacy
- [x] Mentorship
- [x] Events &amp; Workshops
- [ ] Content Creation
- [x] Regional Community Growth
- [ ] Other
</t>
  </si>
  <si>
    <t xml:space="preserve">Romania
</t>
  </si>
  <si>
    <t>I am an AI Engineer, researcher, and educator based in Bucharest, Romania, with a strong focus on applied machine learning, NLP, LLMs, RAG systems, and AI education.
I am currently an AI Engineer at the Advanced Technology Institute and an Associate Lecturer at the University POLITEHNICA of Bucharest, where I have supported teaching in programming, numerical methods, parallel and distributed algorithms, and applied AI-related topics. I have also contributed to AI education and community development through the Romanian National Artificial Intelligence Olympiad, the International Artificial Intelligence Olympiad national selection, and the Machine Learning Security and Privacy Summer School.
Relevant community and educational contributions include:
* Mentoring 45 NLP teams during the Nitro NLP Hackathon.
* Serving on scientific / organizing committees for national AI, cybersecurity, and applied informatics competitions.
* Teaching and mentoring students in machine learning, NLP, LLMs, and practical AI systems.
* Building applied ML systems in speech processing, speaker diarization, NLP, RAG, and high-performance AI research.
* Publishing and presenting AI and ML-related research, including work on speech activity detection, privacy-preserving ML inference, and high-order differential operator estimation.
If selected as a PyTorch Foundation Ambassador, I would use this background to organize practical PyTorch workshops, create educational resources, mentor new PyTorch users, and support the growth of the PyTorch community in Romania and Eastern Europe.</t>
  </si>
  <si>
    <t>This nominee demonstrates meaningful general AI/ML mentorship with verified outcomes (hackathon wins, mentor leadership for 60+ students) and regional community engagement in Nepal, an underrepresented area. However, I find limited evidence of PyTorch Foundation-specific engagement, impact, or knowledge, with most contributions being generic AI/ML work rather than PyTorch-focused; the Ambassador plan lacks concrete specifics and direct PyTorch community involvement is minimal.</t>
  </si>
  <si>
    <t>OmkarAcharya01</t>
  </si>
  <si>
    <t xml:space="preserve">Omkar Acharya
</t>
  </si>
  <si>
    <t xml:space="preserve">Bhubneshwar, Orissa
</t>
  </si>
  <si>
    <t>Yamunasri1810</t>
  </si>
  <si>
    <t xml:space="preserve">https://github.com/OmkarAcharya01
</t>
  </si>
  <si>
    <t xml:space="preserve">Yamuna Sri
</t>
  </si>
  <si>
    <t xml:space="preserve">Chennai, Tamilnadu 
</t>
  </si>
  <si>
    <t xml:space="preserve">www.linkedin.com/in/omkar-acharya-3a0357326
</t>
  </si>
  <si>
    <t xml:space="preserve">https://github.com/Yamunasri1810
</t>
  </si>
  <si>
    <t xml:space="preserve">@om_skl
</t>
  </si>
  <si>
    <t xml:space="preserve">https://www.linkedin.com/in/yamunasri/
</t>
  </si>
  <si>
    <t>rayyanshaheer</t>
  </si>
  <si>
    <t xml:space="preserve">Rayyan Shaheer
</t>
  </si>
  <si>
    <t xml:space="preserve">I am an active contributor and community advocate in the AI, machine learning, and open-source ecosystem, with a particular focus on PyTorch-based development, education, and knowledge sharing. My contributions span technical projects, educational content, mentorship, and community engagement initiatives that help developers and students adopt modern deep learning tools and best practices.
Key contributions include - 
Developing and maintaining machine learning and deep learning projects using PyTorch and related ecosystem tools.
Contributing to open-source repositories through code contributions, issue reporting, documentation improvements, and community support.
Creating technical content such as tutorials, articles, workshops, presentations, and learning resources that make AI and deep learning concepts more accessible.
Mentoring students and early-career developers interested in machine learning, deep learning, and open-source contribution pathways.
Participating in developer communities, hackathons, university initiatives, and technical events that promote collaborative learning and innovation.
Through these efforts, I have worked to strengthen the AI and PyTorch ecosystem by helping more people learn, build, contribute, and collaborate effectively.
</t>
  </si>
  <si>
    <t xml:space="preserve">Peshawar, Pakistan
</t>
  </si>
  <si>
    <t xml:space="preserve">Have been an active Ai club representative, department level 
Coordinated Department symposium events, department level 
</t>
  </si>
  <si>
    <t xml:space="preserve">PyTorch has played a significant role in my growth as a machine learning practitioner and open-source contributor. The framework's accessibility, research-friendly design, and vibrant global community have enabled countless developers, researchers, and students to innovate and learn.
I want to become a PyTorch Foundation Ambassador because I believe community-driven education and open collaboration are essential for expanding access to AI technologies. I am passionate about helping developers, students, and researchers discover opportunities within the PyTorch ecosystem and gain confidence in contributing to open-source projects.
As an Ambassador, I would like to serve as a bridge between local and global communities by promoting technical education, encouraging contributions, sharing practical knowledge, and creating opportunities for collaboration. I am particularly motivated to support emerging talent and underrepresented communities by making PyTorch resources more approachable and accessible.
The Ambassador Program represents an opportunity to scale my existing community efforts while working alongside other passionate advocates who share a commitment to advancing open-source AI development worldwide.
</t>
  </si>
  <si>
    <t xml:space="preserve">Would like to learn and contribute to the community by engaging with peers and experienced professionals. 
</t>
  </si>
  <si>
    <t xml:space="preserve">https://github.com/rayyanshaheer
</t>
  </si>
  <si>
    <t xml:space="preserve">Would help enlarge the community 
</t>
  </si>
  <si>
    <t xml:space="preserve">- [x] Community Building
- [x] Technical Education
- [ ] Open Source Contributions
- [x] Research &amp; Academia
- [ ] Developer Advocacy
- [ ] Mentorship
- [x] Events &amp; Workshops
- [x] Content Creation
- [x] Regional Community Growth
- [ ] Other
</t>
  </si>
  <si>
    <t xml:space="preserve">Other
</t>
  </si>
  <si>
    <t xml:space="preserve">As a PyTorch Foundation Ambassador, I aim to strengthen the bridge between the global PyTorch ecosystem and emerging AI communities in India, particularly in Odisha and neighboring regions. My focus will be on making PyTorch more accessible, creating opportunities for contributors, and helping developers move from learning AI to actively building and contributing with it.
I plan to contribute in five key areas:
Community Building:
I will organize community meetups, workshops, study groups, and collaborative learning initiatives that bring together students, researchers, developers, and open-source enthusiasts.
Technical Education:
I am passionate about simplifying complex AI concepts through practical learning. I will create tutorials, project-based learning resources, technical blogs, and hands-on sessions focused on PyTorch, model development, training optimization, deployment, and the broader PyTorch ecosystem. 
Mentorship and Contributor Growth:
Many aspiring contributors struggle to make their first open-source contribution. I will actively mentor students and early-career developers by guiding them through contribution workflows, project onboarding, documentation improvements, issue triaging, and community collaboration.
Developer Advocacy:
I will advocate for PyTorch by showcasing practical applications, success stories, and innovative projects built with the framework. Through talks, demonstrations, technical content, and community engagement, I will help developers understand how PyTorch can be used to solve real-world challenges across research, industry, and education.
Regional Community Growth:
India has an incredible pool of AI talent, yet many communities still lack direct exposure to global open-source ecosystems. As an Ambassador, I will work to increase awareness of PyTorch Foundation initiatives, encourage participation from underrepresented regions, and connect local developers with global opportunities, programs, and collaborations.
By combining community leadership, technical education, mentorship, and advocacy, I hope to create lasting impact and contribute to the continued growth of the PyTorch Foundation worldwide.
</t>
  </si>
  <si>
    <t xml:space="preserve">https://linkedin.com/in/rayyanshaheer
</t>
  </si>
  <si>
    <t xml:space="preserve">https://x.com/rayyanshaheer2
</t>
  </si>
  <si>
    <t xml:space="preserve">- [x] Open source contributions
- [x] Technical content creation
- [x] Community leadership
- [x] Events or workshops
- [ ] Research or academic work
- [x] Mentorship
- [x] University or student outreach
- [ ] Translation or localization efforts
- [ ] Other
</t>
  </si>
  <si>
    <t xml:space="preserve">I build and ship real software, and I run student tech communities in Peshawar, Pakistan. My work sits where most students get stuck: turning a model or a project into something that actually runs in production. Here is what I have done, with links.
**Community leadership &amp; events.** I led the AWS Cloud Club (Student Builder Group) at FAST NUCES Peshawar. Our Orientation Day '25 brought in around 60 students ([recap](https://www.linkedin.com/posts/rayyanshaheer_aws-orientation-day25-activity-7394338168084295680-jcky)). I then ran a 5-part hands-on workshop series, "The Silicon Valley Workflow," with roughly 50 students per session and 80 at the largest one. We moved students from GUI-only coding to Linux/WSL2, professional Git and GitHub CLI, and Python with FastAPI ([workshop recap](https://www.linkedin.com/posts/awssbgfastpwr_awscommunity-cloudcomputing-fastpeshawar-ugcPost-7433235348182290432-fi_7), [workshop repo](https://github.com/awssbgfastpwr/aws-silicon-valley-workflow-workshop)).
**Student outreach.** As Co-Campus Leader for Notion @ FAST NUCES Peshawar, I helped launch the campus chapter with "Build Your 2026," where 25+ students built their first dashboards and trackers ([launch post](https://www.linkedin.com/posts/rayyanshaheer_notion-notioncommunity-fastpeshawar-activity-7434448289300844544-n8Ms)). I was also Deputy Director (Logistics) for NUTEC 2025, our campus tech event.
**Open source &amp; technical work.** As IEEE NUCES PWR Web Development Lead, I built the student branch website with a CMS so the branch can publish its work year-round: [pwr.ieeenuces.org](https://pwr.ieeenuces.org/). I keep other projects public too, like an open-source fitness coaching API ([stride-fitness-api](https://github.com/rayyanshaheer/stride-fitness-api)).
**Applied ML + deployment (my bridge to PyTorch).** My ML work has been applied: a Smart Irrigation system (React + FastAPI + IoT sensors + an XGBoost prediction model), deployed with CI/CD, monitoring, and automated backups; a computer-vision project for detecting fake financial screenshots (TensorFlow + OpenCV); and a cyber-defense simulator using scikit-learn and Q-learning. To contribute to PyTorch directly, I trained and open-sourced a real project: a [**Flowers-102 classifier**](https://github.com/rayyanshaheer/flower-classifier-pytorch) with a [**live demo**](https://huggingface.co/spaces/rayyanshaheer/flower-classifier-pytorch). It fine-tunes a PyTorch ResNet-18 to recognize 102 flower species at 86% test accuracy, then ships the full path to production: a Gradio web demo, a FastAPI service, a Docker image, and GitHub Actions CI. I built it because most beginner PyTorch tutorials stop at `model.eval()` and never show students the deployment mile.
**Mentorship.** I have mentored about 18 students on cloud, DevOps, and full-stack work, several of whom now run sessions themselves.
I am honest about where I am with PyTorch: I am an applied ML and cloud/DevOps engineer, and my entry point to PyTorch is the deployment and serving side. That is exactly the gap I see in student communities here, and it is what I want to teach.
</t>
  </si>
  <si>
    <t xml:space="preserve">I run student tech communities in Peshawar, and I keep seeing the same gap. Students can train a model in a notebook, but they freeze when it is time to serve it, containerize it, or put it on the cloud. There is no active PyTorch community in Pakistani universities to help them cross that line.
I have spent two years building exactly the things that fix this: workshops, club infrastructure, and deployment pipelines. I led a 5-part workshop series that took 50+ students from terminal basics to FastAPI, and I have shipped applied ML projects with real CI/CD and monitoring. The PyTorch piece was missing, so I trained and open-sourced a real [Flowers-102 classifier](https://github.com/rayyanshaheer/flower-classifier-pytorch) (86% accuracy, with a web demo and API) to start closing it myself.
I want the Ambassador role because it lets me point an established student network at PyTorch instead of starting from zero. My motivation is not abstract. It is the specific students in my city who can learn PyTorch but have no one local showing them how to take it past the notebook. I want to be that person, and I want to connect them to the global PyTorch community so they do not feel like they are working alone at the edge of the map.
</t>
  </si>
  <si>
    <t xml:space="preserve">I would extend the community infrastructure I already run, not invent something I have never done. Concrete plans with targets:
1. **PyTorch workshops at FAST NUCES and 2 partner campuses (Year 1).** Same format as my AWS series. Goal: reach 200+ students across the year, focused on the path from training to deployment.
2. **A "PyTorch to Production" tutorial track (5+ guides).** Built on my [Flowers-102 classifier project](https://github.com/rayyanshaheer/flower-classifier-pytorch): training, serving with FastAPI, a Gradio demo, Docker, CI/CD, and a free-tier deploy. Beginner-friendly, no prior MLOps assumed.
3. **Grow a regional PyTorch student community.** Use the AWS Cloud Club network, IEEE branches, and campus chapters I already work with to start a Pakistan-focused PyTorch group. Goal: 100+ active members in Year 1, with quarterly hands-on events.
4. **Mentor students moving from web/cloud into ML deployment.** I have mentored ~18 students already; I would run structured cohorts (target: 10+) for people crossing from backend/cloud into PyTorch model serving.
5. **Bridge infrastructure and ML.** This is my edge. Most ML mentors teach modeling; few teach students how to actually ship a PyTorch model. I would keep open-sourcing templates and case studies that join the two.
I will report progress with real numbers (students reached, content shipped, members added) each quarter, the same way I track my current community work.
</t>
  </si>
  <si>
    <t xml:space="preserve">- [x] Community Building
- [x] Technical Education
- [ ] Open Source Contributions
- [ ] Research &amp; Academia
- [ ] Developer Advocacy
- [x] Mentorship
- [x] Events &amp; Workshops
- [ ] Content Creation
- [x] Regional Community Growth
- [ ] Other
</t>
  </si>
  <si>
    <t>The application lists many contribution categories but provides no concrete examples, links, or measurable PyTorch-specific outcomes; the plan is generic.</t>
  </si>
  <si>
    <t>- **Trained PyTorch project:** https://github.com/rayyanshaheer/flower-classifier-pytorch — a Flowers-102 classifier (ResNet-18, 86% test accuracy) with a Gradio demo, FastAPI service, Docker, and CI.
- **Live demo:** https://huggingface.co/spaces/rayyanshaheer/flower-classifier-pytorch — upload a flower photo and the PyTorch model classifies it in real time.
- **Workshop series repo:** https://github.com/awssbgfastpwr/aws-silicon-valley-workflow-workshop
- **IEEE student branch site I built:** https://pwr.ieeenuces.org/
- **Open-source API:** https://github.com/rayyanshaheer/stride-fitness-api
- **AWS New Voices 2026** selectee.
- Event recaps with attendance numbers are linked throughout the Contribution Overview above.</t>
  </si>
  <si>
    <t>trykenipatel-coder</t>
  </si>
  <si>
    <t xml:space="preserve">Patel Keni Mukeshbhai
</t>
  </si>
  <si>
    <t xml:space="preserve">Mehsana,Gujarat, India
</t>
  </si>
  <si>
    <t xml:space="preserve">https://www.linkedin.com/in/kenipatel1/
</t>
  </si>
  <si>
    <t xml:space="preserve">- [x] Open source contributions
- [x] Technical content creation
- [x] Community leadership
- [x] Events or workshops
- [x] Research or academic work
- [ ] Mentorship
- [x] University or student outreach
- [ ] Translation or localization efforts
- [ ] Other
</t>
  </si>
  <si>
    <t xml:space="preserve">I have actively contributed to the PyTorch ecosystem through learning, experimentation, community engagement, and educational initiatives focused on deep learning and artificial intelligence.
My contributions include building AI and machine learning projects using PyTorch-based concepts, exploring neural network architectures, model training workflows, and practical AI applications. I regularly share knowledge with fellow students and beginner developers by discussing AI development practices, model implementation techniques, and open-source learning resources.
As a student and aspiring AI developer, I have participated in various AI-focused communities, workshops, and technical discussions that promote PyTorch adoption and machine learning education. My work focuses on making AI concepts more accessible to students who are beginning their journey in deep learning and data science.
Key areas of involvement include:
• Developing and experimenting with deep learning projects using PyTorch frameworks and related AI technologies.
• Supporting peer learning by explaining machine learning concepts, neural networks, model training, and AI development workflows.
• Contributing educational content, project demonstrations, and practical implementation examples for students interested in AI and deep learning.
• Promoting open-source AI development and encouraging students to participate in collaborative technology communities.
• Participating in technical events, workshops, webinars, and learning initiatives related to artificial intelligence and machine learning.
Community Impact:
• Mentored and guided fellow students through AI project discussions and technical problem-solving.
• Encouraged participation in AI-focused learning programs and open-source development initiatives.
• Shared educational resources and project experiences with student communities to increase awareness of deep learning technologies.
Through continuous learning, project development, and community engagement, I aim to contribute further to the PyTorch Foundation ecosystem by helping expand AI education, supporting beginner contributors, and promoting open-source machine learning innovation.
</t>
  </si>
  <si>
    <t xml:space="preserve">I want to become a PyTorch Foundation Ambassador because I believe open-source AI and machine learning technologies have the power to make advanced education and innovation accessible to everyone. As a student passionate about artificial intelligence, I have experienced how community-driven projects and educational resources can accelerate learning and create opportunities for aspiring developers.
PyTorch has become one of the most influential frameworks in the AI ecosystem, enabling researchers, students, and developers to build impactful solutions across education, healthcare, computer vision, natural language processing, and many other domains. I am motivated to help expand this ecosystem by encouraging more students and early-career developers to explore PyTorch, contribute to open-source projects, and participate in the global AI community.
As a PyTorch Foundation Ambassador, I would actively promote learning opportunities, organize community engagement activities, share educational content, and support newcomers who are beginning their journey in machine learning and deep learning. I am particularly interested in helping students from underrepresented and emerging communities gain access to practical AI knowledge and open-source collaboration opportunities.
My long-term goal is to bridge the gap between academic learning and real-world AI development by creating awareness, fostering collaboration, and empowering more individuals to become contributors rather than just users of technology. Through the Ambassador program, I hope to strengthen connections between students, developers, researchers, and the broader PyTorch community while helping grow the impact of PyTorch Foundation projects worldwide.
</t>
  </si>
  <si>
    <t xml:space="preserve">As a PyTorch Foundation Ambassador, I would focus on expanding awareness, accessibility, and participation in the PyTorch ecosystem, particularly among students and aspiring AI developers.
I plan to contribute in the following ways:
• Organize educational sessions, workshops, and community events that introduce students to PyTorch, deep learning fundamentals, and open-source AI development.
• Create beginner-friendly learning resources, tutorials, project guides, and technical content that help new contributors understand and start using PyTorch effectively.
• Mentor students and first-time contributors by guiding them through AI projects, open-source contribution processes, and best practices in machine learning development.
• Advocate for PyTorch Foundation projects within university communities, student organizations, and technology networks to encourage greater participation and collaboration.
• Support local and global AI communities by facilitating knowledge-sharing sessions, technical discussions, and networking opportunities between students, researchers, and industry professionals.
• Promote diversity and inclusion in AI by helping learners from different backgrounds access educational resources and opportunities within the PyTorch ecosystem.
Leveraging my experience as an IEEE volunteer, AI enthusiast, and student leader, I aim to build a strong bridge between academic communities and the open-source AI ecosystem. My goal is to inspire more students to learn, contribute, and innovate using PyTorch while strengthening community engagement and increasing awareness of PyTorch Foundation initiatives.
Through consistent educational outreach, mentorship, content creation, and community building, I hope to help grow a more active, inclusive, and collaborative PyTorch community at both the local and global levels.
</t>
  </si>
  <si>
    <t>In addition to my academic studies, I actively engage in AI, machine learning, and open-source technology communities through project development, technical learning, and community participation.
Some notable activities and achievements include:
• Developing AI-focused projects, including an AI Personalized Learning System that explores adaptive learning approaches, intelligent recommendations, and student-centered educational technologies.
• Participating in IEEE activities, student leadership initiatives, technical workshops, webinars, and community programs that promote technology education and professional development.
• Contributing to AI and software development discussions while helping fellow students understand emerging technologies such as machine learning, deep learning, generative AI, and data science.
• Exploring open-source AI frameworks and tools to gain practical experience in model development, experimentation, and deployment.
• Continuously creating and sharing project work, technical insights, and learning resources through academic presentations, online platforms, and student communities.
Future Initiatives:
As I continue my journey in artificial intelligence and open-source development, I plan to expand my contributions by organizing educational sessions, publishing technical tutorials, mentoring beginner developers, and encouraging greater student participation in PyTorch Foundation projects and the broader AI ecosystem.
I am committed to lifelong learning, community building, and advancing the adoption of open-source AI technologies. I look forward to contributing to the PyTorch Foundation's mission of fostering innovation, collaboration, and accessible AI education worldwide.</t>
  </si>
  <si>
    <t>oglok</t>
  </si>
  <si>
    <t xml:space="preserve">Ricardo Noriega
</t>
  </si>
  <si>
    <t xml:space="preserve">Madrid, Spain
</t>
  </si>
  <si>
    <t xml:space="preserve">https://github.com/oglok
</t>
  </si>
  <si>
    <t xml:space="preserve">https://www.linkedin.com/in/ricardo-noriega-de-soto-15261824/
</t>
  </si>
  <si>
    <t xml:space="preserve">- [ ] PyTorch
- [x] vLLM
- [ ] DeepSpeed
- [ ] Ray
- [ ] Helion
- [ ] Safetensors
- [ ] Other
</t>
  </si>
  <si>
    <t xml:space="preserve">- [x] Open source contributions
- [x] Technical content creation
- [x] Community leadership
- [ ] Events or workshops
- [ ] Research or academic work
- [ ] Mentorship
- [ ] University or student outreach
- [ ] Translation or localization efforts
- [ ] Other
</t>
  </si>
  <si>
    <t>junaiddshaukat</t>
  </si>
  <si>
    <t xml:space="preserve">Muhammad Junaid Shaukat
</t>
  </si>
  <si>
    <t xml:space="preserve">Lahore, Pakistan
</t>
  </si>
  <si>
    <t>mitul3737</t>
  </si>
  <si>
    <t xml:space="preserve">https://github.com/junaiddshaukat
</t>
  </si>
  <si>
    <t xml:space="preserve">I am an active contributor to the PyTorch ecosystem, focusing on advanced multi-modal inference optimizations, content review, and technical education. My contributions span across several key areas:
Technical Content &amp; Speaking: I was a featured speaker at PyTorch Conference Europe 2026, presenting on open-source video generation prototype using vLLM-Omni (Link: https://www.youtube.com/watch?v=xze7vNNgK8w).
Educational Demos: I have created deep-dive technical tutorials showcasing PyTorch ecosystem integrations, including Hybrid Inference in a Box using vLLM Semantic Router(Link: https://www.youtube.com/watch?v=xE0EJ6aYJng) and vLLM Omni on Kubernetes (Link: https://www.youtube.com/watch?v=RmJkSY99akk).
Open-Source Contributions: I actively submit code and participate in issue triaging for core multi-modal inference extensions under the vLLM project.
PRs: https://github.com/vllm-project/vllm-omni/pulls/oglok
Issues: [https://github.com/vllm-project/vllm-omni/issues?q=is%3Aissue%20state%3Aopen%20oglok](https://www.google.com/search?q=https%3A%2F%2Fgithub.com%2Fvllm-project%2Fvllm-omni%2Fissues%3Fq%3Dis%253Aissue%2520state%253Aopen%2520oglok)
Foundation Governance &amp; Editorial Review: I serve as a **member of the official PyTorch Blog Review Board**, acting as a technical gatekeeper for ecosystem case studies. My approved reviews include major engineering posts from Intel (TorchAO), LinkedIn, DeepSpeed (Muon Optimizer), Anyscale, and the LightSeek Foundation.
Community Leadership: I co-founded the CNCF local community group in Madrid (Link: [https://ocgroups.dev/cncf/group/c9gs7ws](https://www.google.com/search?q=https%3A%2F%2Focgroups.dev%2Fcncf%2Fgroup%2Fc9gs7ws)). Over the past 2+ years, I have successfully organized more than 15 community events, building a deep foundation in community orchestration and Linux Foundation guidelines.
</t>
  </si>
  <si>
    <t xml:space="preserve">MD Shahriyar Al Mustakim Mitul
</t>
  </si>
  <si>
    <t xml:space="preserve">https://gitlab.com/junaiddshaukat
</t>
  </si>
  <si>
    <t xml:space="preserve">Dhaka, Bangladesh
</t>
  </si>
  <si>
    <t xml:space="preserve">https://www.linkedin.com/in/junaiddshaukat
</t>
  </si>
  <si>
    <t xml:space="preserve">My motivation stems from a desire to bridge the gap between bleeding-edge AI engineering and local developer ecosystems. Contributing technically to PyTorch-aligned projects, seeing firsthand the inception of the Pytorch Foundation and working on the official Blog Review Board, I have seen how impactful clear engineering advocacy is to global developers.
Furthermore, having successfully built a thriving open-source community in Madrid through the CNCF, I noticed a distinct gap in dedicated, high-quality, local space for AI/ML developers in Spain. I am highly motivated to bring the official framework, resources, and technical rigor of the PyTorch Foundation to Madrid. Becoming an Ambassador provides the official mandate needed to unify local enterprise developers, researchers, and students around the PyTorch ecosystem.
</t>
  </si>
  <si>
    <t xml:space="preserve">https://x.com/junaiddshaukat
</t>
  </si>
  <si>
    <t xml:space="preserve">https://github.com/mitul3737
</t>
  </si>
  <si>
    <t xml:space="preserve">As a PyTorch Foundation Ambassador, I will focus on two main pillars: Local Community Scaling and Technical Content Advocacy.
Launching PyTorch Madrid: I will leverage my 2+ years of local event experience (15+ events organized) and established venue networks to launch the official PyTorch Local Community Group in Madrid. I have already initiated active planning conversations with Ana Jimenez (Academic and OSPO Outreach at the PyTorch Foundation) to ensure this initiative aligns perfectly with the foundation’s strategic goals.
Technical Advocacy &amp; Content Creation: I will continue to produce high-quality tutorials, demos, and presentations focusing on production-grade PyTorch implementations (such as TorchAO, cloud-native deployments via Kubernetes, and advanced inference engines like vLLM).
Contributor Mentorship: Through the local meetups and my ongoing role on the PyTorch Blog Review Board, I will mentor local developers, encouraging them to transition from users to active open-source contributors to the PyTorch ecosystem.
Currently, there is no ambassador from Spain, and I think my nomination could serve as a bridge among the Spanish speaking communities around the world (Spain, US, Mexico, South America...). I am sure the reach I could have would be very beneficial! 
</t>
  </si>
  <si>
    <t xml:space="preserve">- [x] Open source contributions
- [x] Technical content creation
- [x] Community leadership
- [x] Events or workshops
- [ ] Research or academic work
- [x] Mentorship
- [ ] University or student outreach
- [ ] Translation or localization efforts
- [ ] Other
</t>
  </si>
  <si>
    <t xml:space="preserve">- [x] Community Building
- [ ] Technical Education
- [x] Open Source Contributions
- [ ] Research &amp; Academia
- [x] Developer Advocacy
- [x] Mentorship
- [x] Events &amp; Workshops
- [ ] Content Creation
- [x] Regional Community Growth
- [ ] Other
</t>
  </si>
  <si>
    <t>Meaningful event, mentorship, and project experience with a clear Nepal-focused education and research plan; direct Foundation engagement is still developing.</t>
  </si>
  <si>
    <t xml:space="preserve">Spain
</t>
  </si>
  <si>
    <t xml:space="preserve">https://www.linkedin.com/in/mitul-shahriyar/
</t>
  </si>
  <si>
    <t xml:space="preserve">I am AI-native software engineer and active open-source contributor based in Lahore, Pakistan, with a strong record of upstream work across the AI/ML and developer-infrastructure ecosystem that the PyTorch community depends on.
**Open Source Contributions (37+ merged PRs)**
- **Google Summer of Code 2026 (Apache Software Foundation / Apache Beam)** — building a portable Kafka Streams runner for Apache Beam, translating Beam pipeline protos into Kafka Streams topologies via the Fn API. (9 merged PRs) https://github.com/apache/beam/pulls?q=is%3Apr+author%3Ajunaiddshaukat
- **Kubernetes Release Team — Release Signal Shadow (v1.37 cycle)** — monitoring CI signal across SIGs, tracking flaky tests and release-blocking issues. https://github.com/kubernetes/sig-release
- Additional upstream contributions to **Apache Airflow** (3 PRs), **webpack** (2 PRs), **Gemini CLI** (2 PRs), **Talawa Admin / Palisadoes Foundation** (6 PRs, 30% bundle-size reduction), **Archestra AI** (6 PRs, incl. DeepSeek/Mistral/Perplexity LLM provider support), **InsForge** (11 PRs), and **mainline Linux kernel** patches (ARM64).
**AI Community Leadership &amp; Advocacy**
- **Qwen Ambassador** — actively advocating for and supporting the open-source AI/LLM community.
- **Notion Campus Leader** — was official notion amb. at my university where organize some events around productivity and notion.
- Linux Foundation **LFD103 — Kernel Development** certified.
**Technical Content Creation**
- Writes regularly on LLM tooling, agentic frameworks, and applied AI engineering, including "I Built the Same AI Agent in Four Frameworks. Here's What I Learned." https://junaidshaukat.com/blog
**Measurable Impact &amp; Projects**
- 734+ GitHub contributions in the last year; 92 repos, 47 stars, 46 followers.
- **isDisposable** — disposable-email detection API/package: 10k+ npm and 700+ PyPI downloads, 160k+ domains indexed.
- Builder of AI developer tooling including **QueryMaster** (an MCP server to query SQL databases in natural language) and **reqcraft**.
**Supporting Links**
- Portfolio: https://junaidshaukat.com/
- GitHub: https://github.com/junaiddshaukat
- LinkedIn: https://www.linkedin.com/in/junaiddshaukat
</t>
  </si>
  <si>
    <t>To see our work on the CNCF local community, this is the youtube channel where we stream all our events:
https://www.youtube.com/@CloudNativeMadrid</t>
  </si>
  <si>
    <t xml:space="preserve">https://x.com/mitul_shahriyar
</t>
  </si>
  <si>
    <t xml:space="preserve">I want to become a PyTorch Foundation Ambassador because PyTorch sits at the foundation of nearly everything I care about as an engineer: open-source collaboration, accessible AI/ML tooling, and infrastructure that real systems are built on. As an AI-native engineer, I spend my days inside the modern ML and agentic-tooling ecosystem — and time and again, the path back to first principles runs through PyTorch and the projects in its orbit (vLLM, Ray, Safetensors, and beyond).
My open-source journey has shown me how much leverage one motivated contributor can have when a community is welcoming and well-organized. Through Google Summer of Code 2026 with the Apache Software Foundation, the Kubernetes Release Team, and 37+ merged PRs across major projects, I've learned how healthy open-source communities actually function — how mentorship, clear onboarding, and consistent advocacy turn curious newcomers into long-term maintainers. I want to bring that same energy to the PyTorch ecosystem.
I'm also driven by where I'm from. Based in Lahore, Pakistan, I see enormous untapped talent across South Asia that never finds its way into upstream contribution because of missing on-ramps and local community support. As a Qwen Ambassador, I already advocate for open AI tooling in these communities. Becoming a PyTorch Foundation Ambassador would let me do that with deeper purpose — helping more developers in emerging and underrepresented regions learn, contribute to, and build on PyTorch. Ultimately, I want to give back to the open-source AI movement that shaped me, and help grow it where it's needed most.
</t>
  </si>
  <si>
    <t xml:space="preserve">- [ ] PyTorch
- [ ] vLLM
- [ ] DeepSpeed
- [ ] Ray
- [ ] Helion
- [ ] Safetensors
- [ ] Other
</t>
  </si>
  <si>
    <t xml:space="preserve">- [x] Open source contributions
- [ ] Technical content creation
- [x] Community leadership
- [ ] Events or workshops
- [ ] Research or academic work
- [ ] Mentorship
- [x] University or student outreach
- [ ] Translation or localization efforts
- [ ] Other
</t>
  </si>
  <si>
    <t xml:space="preserve">As a PyTorch Foundation Ambassador, I would focus on turning interest in PyTorch into real, sustained contribution — especially across South Asia and other emerging regions.
**Community Building &amp; Regional Growth**
- Organize PyTorch-focused meetups, study groups, and workshops in Pakistan and the broader South Asian developer community, where strong AI/ML talent often lacks local on-ramps into upstream projects.
- Build bridges between university CS programs (I'm currently a BS Computer Science student at the University of Education, Lahore) and the PyTorch ecosystem through student outreach.
**Mentorship &amp; Open Source Onboarding**
- Run "first PyTorch PR" guided sessions, drawing on my own experience landing 37+ merged PRs across Apache Beam, Airflow, Kubernetes, webpack, and the Linux kernel. I know exactly how intimidating the first contribution feels and how to make it approachable.
- Mentor GSoC/LFX-style aspirants toward PyTorch Foundation projects (PyTorch, vLLM, Ray, Safetensors), having gone through Google Summer of Code 2026 myself.
**Technical Content Creation**
- Continue writing accessible tutorials and deep-dives on LLM tooling, agentic frameworks, and applied ML engineering (I already publish regularly at junaidshaukat.com), with a dedicated focus on PyTorch and its ecosystem.
- Produce practical "from zero to contributing" guides and example projects.
**Developer Advocacy &amp; Technical Education**
- Advocate for PyTorch Foundation projects within the open-source AI communities I'm already active in as a Qwen Ambassador, and help connect tooling-focused builders to upstream PyTorch work.
- Champion best practices around reproducibility, model formats (Safetensors), and efficient inference/serving (vLLM, Ray) through talks and hands-on sessions.
My goal is measurable impact: more first-time contributors onboarded, more regional events run, and a stronger, more globally representative PyTorch community.
</t>
  </si>
  <si>
    <t xml:space="preserve">Over the last three years, I have actively contributed to Bangladesh's AI and open-source ecosystem through community building, technical education, and developer advocacy.
One of my direct contributions to the PyTorch ecosystem was supporting and organizing a PyTorch community meetup on April 13, bringing together developers, researchers, and AI practitioners to learn and discuss deep learning, computer vision, and open-source AI technologies.
Supporting event:
[Post event post](https://www.linkedin.com/posts/cloudnativedhaka_cncg-ctg-activity-7450801181192364032-lL5j)
Beyond community activities, I have worked on machine learning and quantum machine learning projects, including [Quantum Convolutional Neural Networks (QCNNs)](https://github.com/mitul3737/Quantum-CNN) using PennyLane and modern deep learning workflows. Through these projects, I have explored hybrid quantum-classical architectures, model optimization, and the broader PyTorch ecosystem for AI research and experimentation.
I have also organized dozens of AI, machine learning, cloud-native, and open-source events through Cloud Native Dhaka and other developer communities. These initiatives have reached more than 1,000 students and developers across Bangladesh through workshops, hands-on sessions, mentorship, and university outreach programs.
My goal as a PyTorch Foundation Ambassador is to continue promoting PyTorch adoption, organizing educational programs, supporting new contributors, sharing practical AI learning resources, and helping grow a stronger open-source AI community across Bangladesh and South Asia.
</t>
  </si>
  <si>
    <t xml:space="preserve">I aim to become a PyTorch Foundation Ambassador, helping to grow the PyTorch community in Bangladesh by organizing workshops, meetups, and hands-on learning sessions. My goal is to help students, developers, and researchers build practical AI skills, contribute to open-source projects, and become active members of the PyTorch ecosystem.
</t>
  </si>
  <si>
    <t>Dheerajdhaker</t>
  </si>
  <si>
    <t xml:space="preserve">Dheeraj kumar malav
</t>
  </si>
  <si>
    <t xml:space="preserve">As a PyTorch Foundation Ambassador, I would contribute by organizing community events, workshops, and hands-on learning sessions that help students, developers, and researchers learn and adopt PyTorch. I would also support educational outreach through university programs, technical talks, and mentorship initiatives to encourage open-source contributions and AI skill development.
Leveraging my experience leading developer communities in Bangladesh, I would help grow both local and global PyTorch communities by connecting learners with opportunities to collaborate, contribute, and share knowledge around the PyTorch ecosystem.
</t>
  </si>
  <si>
    <t xml:space="preserve">Jaipur rajasthan
</t>
  </si>
  <si>
    <t xml:space="preserve">- [x] Community Building
- [ ] Technical Education
- [ ] Open Source Contributions
- [ ] Research &amp; Academia
- [x] Developer Advocacy
- [ ] Mentorship
- [ ] Events &amp; Workshops
- [ ] Content Creation
- [x] Regional Community Growth
- [ ] Other
</t>
  </si>
  <si>
    <t xml:space="preserve">https://github.com/Dheerajdhaker
</t>
  </si>
  <si>
    <t xml:space="preserve">https://www.linkedin.com/in/dheeraj-kumar-malav-31643a30a/
</t>
  </si>
  <si>
    <t xml:space="preserve">https://x.com/Dheerajdhaker79
</t>
  </si>
  <si>
    <t xml:space="preserve">- [ ] Open source contributions
- [ ] Technical content creation
- [ ] Community leadership
- [x] Events or workshops
- [x] Research or academic work
- [ ] Mentorship
- [x] University or student outreach
- [ ] Translation or localization efforts
- [ ] Other
</t>
  </si>
  <si>
    <t xml:space="preserve">As a B.Tech student and aspiring AI/ML developer, Dheeraj Kumar Malav has actively contributed to the growth of AI and open-source learning communities by promoting and applying PyTorch-based technologies through projects, educational initiatives, technical content, and student outreach.
Dheeraj has built hands-on AI applications and continuously explored modern deep learning frameworks, including PyTorch, through academic projects, hackathons, cloud learning programs, and independent research. His work focuses on making AI more accessible to students from tier-2 and tier-3 colleges by sharing learning resources, project experiences, and practical implementation strategies.
Key contributions include:
Developing and experimenting with AI/ML applications using modern deep learning tools and frameworks within the PyTorch ecosystem.
Participating in AI-focused innovation challenges, hackathons, and startup programs where PyTorch-based approaches are explored for solving real-world problems.
Promoting AI education among students through peer learning, technical discussions, and knowledge-sharing sessions.
Supporting university-level outreach by helping fellow students understand AI concepts, machine learning workflows, and open-source technologies.
Contributing to open-source learning communities through GitHub repositories, project documentation, and collaborative development practices.
Exploring Large Language Models (LLMs), Generative AI, Computer Vision, and Multimodal AI systems that frequently leverage PyTorch as a foundational framework.
In addition to technical work, Dheeraj actively engages with the broader AI community through LinkedIn, GitHub, and student networks, where he shares project updates, learning resources, certifications, and insights related to AI development and open-source technologies.
Educational and Technical Achievements:
Completed multiple Google Cloud Generative AI learning programs, including:
Develop GenAI Apps with Gemini and Streamlit
Inspect Rich Documents with Gemini Multimodality and Multimodal RAG
Build Real World AI Applications with Gemini and Imagen
Participated in innovation and entrepreneurship programs focused on AI-driven solutions.
Mentored and collaborated with fellow students on AI learning paths, project development, and career guidance.
</t>
  </si>
  <si>
    <t xml:space="preserve">I Came from a tier-3 engineering college in Rajasthan, India, Dheeraj understands the challenges many students face in accessing quality AI education, mentorship, open-source opportunities, and industry exposure. Through his own learning journey in AI, Generative AI, machine learning, and software development, he has seen how open-source communities and technologies like PyTorch can empower students to build impactful solutions and pursue careers in technology.
As a PyTorch Foundation Ambassador, Dheeraj aims to bridge the gap between students and the global AI ecosystem by promoting PyTorch-based learning, encouraging open-source participation, and helping beginners gain confidence in building real-world AI projects. He believes that many talented students are eager to contribute but often lack guidance, resources, or exposure to the broader community.
My motivation is driven by three key goals:
Expanding AI Education
Introduce more students to PyTorch and modern AI development.
Create beginner-friendly learning resources, project guides, and technical content.
Simplify complex AI concepts through practical demonstrations and hands-on projects.
Building Stronger Communities
Foster collaboration among students, developers, researchers, and AI enthusiasts.
Encourage participation in open-source projects, hackathons, workshops, and research initiatives.
Support local AI communities in Rajasthan and across India.
Promoting Open Source Contribution
Inspire students to move beyond learning and actively contribute to open-source ecosystems.
Help new contributors understand contribution workflows, documentation, and community best practices.
Advocate for inclusive and welcoming technical communities where learners from all backgrounds can participate.
The Ambassador Program as an opportunity not only to grow personally but also to create meaningful impact by helping more students discover the opportunities that PyTorch and open-source AI communities provide. He is committed to serving as a bridge between local student communities and the global PyTorch ecosystem, ensuring that more aspiring developers, researchers, and innovators can learn, contribute, and succeed.
</t>
  </si>
  <si>
    <t xml:space="preserve">As a PyTorch Foundation Ambassador, Iwould focus on expanding access to AI education, strengthening open-source participation, and building a more connected AI community for students and early-career developers, particularly in emerging regions of India.
My contribution would center around five key areas:
1. Community Building and Outreach
My plans to actively engage students, developers, and AI enthusiasts through local and online communities. He would work to introduce more learners to PyTorch and the broader open-source AI ecosystem by organizing discussions, networking opportunities, and collaborative learning initiatives.
2. Educational Programs and Workshops
my aims to conduct beginner-friendly workshops, study groups, and hands-on sessions covering topics such as:
* Introduction to PyTorch and Deep Learning
* Computer Vision and Natural Language Processing
* Generative AI and Large Language Models
* Building AI projects from idea to deployment
* Open-source contribution workflows
These initiatives would help students gain practical experience while lowering the barrier to entry for AI development.
3. Technical Content Creation
I would create and share educational content, including:
* Project tutorials and implementation guides
* PyTorch learning resources for beginners
* Blog posts and technical articles
* Social media content highlighting community opportunities
* Open-source project walkthroughs
His goal would be to make complex AI concepts easier to understand and accessible to a broader audience.
4. Mentorship and Contributor SupportMany students are interested in contributing to open source but are unsure where to begin. I would help guide new contributors by:
* Introducing contribution best practices
* Assisting with project selection and onboarding
* Supporting students during hackathons and open-source programs
* Encouraging long-term participation in PyTorch-related communities
Through mentorship and peer support, he hopes to build confidence among aspiring contributors.
5. Regional Growth and Advocacy
As a student from Rajasthan, India, I recognizes the need for stronger AI communities outside major technology hubs. He would advocate for greater participation from students in tier-2 and tier-3 cities by connecting them with PyTorch Foundation resources, global community initiatives, and open-source opportunities.
Long-Term Vision
my long-term goal as a PyTorch Foundation Ambassador is to create a sustainable pipeline of learners, contributors, and future community leaders. By combining education, mentorship, content creation, and community engagement, he hopes to help more students discover the power of PyTorch, contribute to open-source AI projects, and become active members of the global AI ecosystem.
</t>
  </si>
  <si>
    <t xml:space="preserve">- [x] Community Building
- [x] Technical Education
- [x] Open Source Contributions
- [x] Research &amp; Academia
- [x] Developer Advocacy
- [ ] Mentorship
- [x] Events &amp; Workshops
- [x] Content Creation
- [ ] Regional Community Growth
- [ ] Other
</t>
  </si>
  <si>
    <t xml:space="preserve">india
</t>
  </si>
  <si>
    <t>Aratoluwada</t>
  </si>
  <si>
    <t>balijepalli</t>
  </si>
  <si>
    <t xml:space="preserve">Toluwade Aratoluwada
</t>
  </si>
  <si>
    <t xml:space="preserve">Preetam Balijepalli
</t>
  </si>
  <si>
    <t xml:space="preserve">Abeokuta, Nigeria
</t>
  </si>
  <si>
    <t xml:space="preserve">PimpriChinchwad , Maharastra , India
</t>
  </si>
  <si>
    <t xml:space="preserve">https://github.com/Aratoluwada
</t>
  </si>
  <si>
    <t xml:space="preserve">https://github.com/balijepalli
</t>
  </si>
  <si>
    <t xml:space="preserve">https://www.linkedin.com/in/aratoluwada-toluwade
</t>
  </si>
  <si>
    <t xml:space="preserve">https://www.linkedin.com/in/preetambalijepalli/
</t>
  </si>
  <si>
    <t xml:space="preserve">https://x.com/balijepalli
</t>
  </si>
  <si>
    <t xml:space="preserve">https://x.com/TAG_Degen
</t>
  </si>
  <si>
    <t>This nominee demonstrates strong community organizing and education experience across multiple tech communities in Bangladesh, including verifiable mentorship roles with Stanford and IBM, but has limited direct engagement with PyTorch Foundation projects or communities beyond one meetup and a personal quantum ML project.</t>
  </si>
  <si>
    <t xml:space="preserve">- [x] Open source contributions
- [x] Technical content creation
- [x] Community leadership
- [ ] Events or workshops
- [x] Research or academic work
- [x] Mentorship
- [ ] University or student outreach
- [ ] Translation or localization efforts
- [ ] Other
</t>
  </si>
  <si>
    <t>The application is largely aspirational and does not substantiate PyTorch contributions, measurable community impact, or demonstrated technical communication.</t>
  </si>
  <si>
    <t xml:space="preserve">- [ ] Open source contributions
- [ ] Technical content creation
- [ ] Community leadership
- [x] Events or workshops
- [ ] Research or academic work
- [ ] Mentorship
- [ ] University or student outreach
- [ ] Translation or localization efforts
- [ ] Other
</t>
  </si>
  <si>
    <t xml:space="preserve">My contributions primarily focus on applying and promoting PyTorch in production AI systems, research, and mentoring. I have used PyTorch extensively for computer vision, deep learning, graph learning, and recent large language model fine-tuning and distillation efforts. As Chief Technologist at Syngenta, Outoftheblue.ai , Datasee.ai and AlphaPebble.io, I lead engineering and data science initiatives, mentor practitioners, and encourage adoption of modern AI development practices. I also contribute technical content, open-source projects, and research-oriented work related to geospatial AI, computer vision, point cloud analytics, and machine learning engineering.
</t>
  </si>
  <si>
    <t xml:space="preserve">Attended previous events
</t>
  </si>
  <si>
    <t xml:space="preserve">I'm very passionate about the growth of ML in Nigeria and Africa at large. Joining the program will help me play my part in the growth of tech in Nigeria.
</t>
  </si>
  <si>
    <t xml:space="preserve">I want to become a PyTorch Foundation Ambassador because I believe PyTorch plays a critical role in bridging cutting-edge AI research and real-world production systems. Throughout my work in computer vision, geospatial AI, point cloud analytics, and large language models, PyTorch has been one of the primary frameworks enabling experimentation, research, and deployment of AI solutions.
As an engineering leader and practitioner, I am passionate about helping developers, students, and organizations adopt modern AI technologies effectively. Through mentorship, technical content, open-source contributions, and community engagement, I aim to make advanced AI concepts more accessible and practical for a broader audience.
As a PyTorch Foundation Ambassador, I would like to contribute by:
* Promoting PyTorch best practices for real-world AI and machine learning applications.
* Sharing practical experiences from deploying AI systems in industry.
* Mentoring developers and students who are beginning their journey with deep learning and PyTorch.
* Creating educational content, tutorials, and open-source examples that lower the barrier to entry for the PyTorch ecosystem.
* Connecting practitioners working in emerging areas such as geospatial AI, computer vision, graph learning, 3D point cloud analysis, and generative AI with the broader PyTorch community.
I see the Ambassador program as an opportunity to both give back to the community and learn from a global network of researchers, developers, and educators. My goal is to help expand the reach of PyTorch, encourage responsible and impactful AI development, and foster a collaborative community where knowledge is openly shared and applied to solve meaningful real-world problems.
</t>
  </si>
  <si>
    <t xml:space="preserve">I'd contribute by organizing events within the community and creating online content about the community
</t>
  </si>
  <si>
    <t xml:space="preserve">- [ ] Community Building
- [x] Technical Education
- [ ] Open Source Contributions
- [x] Research &amp; Academia
- [ ] Developer Advocacy
- [ ] Mentorship
- [ ] Events &amp; Workshops
- [x] Content Creation
- [ ] Regional Community Growth
- [ ] Other
</t>
  </si>
  <si>
    <t xml:space="preserve">As a PyTorch Foundation Ambassador, I would focus on expanding adoption of PyTorch through education, mentorship, technical advocacy, and real-world industry applications.
I plan to contribute in the following ways:
**Educational Content and Knowledge Sharing**
* Create technical tutorials, implementation guides, and case studies demonstrating practical use of PyTorch for computer vision, geospatial AI, point cloud analytics, graph neural networks, and generative AI.
* Share lessons learned from building and deploying production AI systems, helping practitioners bridge the gap between research and real-world implementation.
* Publish open-source examples and reproducible workflows that make advanced PyTorch techniques more accessible.
**Mentorship and Community Support**
* Mentor students, engineers, and early-career practitioners who are learning deep learning and PyTorch.
* Help community members navigate model development, training, fine-tuning, evaluation, and deployment challenges.
* Encourage participation in open-source AI projects and foster a culture of collaborative learning.
**Technical Advocacy**
* Promote PyTorch as a powerful framework for solving real-world industrial problems.
* Share practical experiences from domains such as computer vision, drone analytics, digital twins, geospatial intelligence, and large language models.
* Advocate for reproducible, scalable, and responsible AI engineering practices.
**Community Growth**
* Engage with local and global AI communities through technical discussions, workshops, study groups, and online forums.
* Connect practitioners from emerging AI domains with the broader PyTorch ecosystem.
* Encourage knowledge exchange between industry professionals, researchers, and students.
**Open Source and Research**
* Continue developing and sharing open-source projects that leverage PyTorch.
* Contribute insights from ongoing research in computer vision, point cloud analysis, graph learning, and efficient model training techniques.
* Explore and share best practices for model fine-tuning, distillation, and deployment of modern AI systems.
My goal as an Ambassador would be to help more developers and organizations successfully adopt PyTorch, strengthen the community through mentorship and education, and showcase impactful real-world applications of PyTorch across diverse domains.
</t>
  </si>
  <si>
    <t xml:space="preserve">- [ ] Community Building
- [x] Technical Education
- [x] Open Source Contributions
- [x] Research &amp; Academia
- [ ] Developer Advocacy
- [x] Mentorship
- [ ] Events &amp; Workshops
- [x] Content Creation
- [x] Regional Community Growth
- [ ] Other
</t>
  </si>
  <si>
    <t>My professional work sits at the intersection of AI research and real-world deployment. Over the past several years, I have led and contributed to projects involving computer vision, geospatial AI, drone analytics, digital twins, point cloud processing, graph neural networks, and large language models.
I currently serve as Chief Technologist at Datasee, where I help drive engineering excellence, AI adoption, and the development of scalable machine learning solutions for industrial applications. My work emphasizes translating research into practical systems that deliver measurable business value.
Recent areas of interest include:
* PyTorch-based computer vision and deep learning systems
* Large language model fine-tuning and distillation workflows
* Geospatial AI and remote sensing applications
* 3D point cloud analysis and digital twin technologies
* Graph neural networks and knowledge representation
* Distributed AI and MLOps practices
In addition to my industry work, I actively mentor engineers and students, contribute to technical knowledge sharing, and pursue graduate-level research focused on applying AI to challenging real-world problems.
As a PyTorch Foundation Ambassador, I hope to help connect practitioners, researchers, students, and industry teams while promoting practical, responsible, and impactful use of PyTorch across emerging AI domains.</t>
  </si>
  <si>
    <t>Fonsoplus12</t>
  </si>
  <si>
    <t xml:space="preserve">Mfoniso Ubongabasi Udo 
</t>
  </si>
  <si>
    <t xml:space="preserve">Uyo
</t>
  </si>
  <si>
    <t xml:space="preserve">https://x.com/mfonisoudo42
</t>
  </si>
  <si>
    <t xml:space="preserve">- [x] PyTorch
- [ ] vLLM
- [x] DeepSpeed
- [x] Ray
- [ ] Helion
- [x] Safetensors
- [ ] Other
</t>
  </si>
  <si>
    <t xml:space="preserve">- [ ] Open source contributions
- [x] Technical content creation
- [x] Community leadership
- [ ] Events or workshops
- [x] Research or academic work
- [ ] Mentorship
- [ ] University or student outreach
- [ ] Translation or localization efforts
- [ ] Other
</t>
  </si>
  <si>
    <t xml:space="preserve">Creation of academic twitter threads for the promotion of the space.
</t>
  </si>
  <si>
    <t>Mmenyene7</t>
  </si>
  <si>
    <t xml:space="preserve">To create awareness, bring new people and make the platform better.
</t>
  </si>
  <si>
    <t xml:space="preserve">Educational awareness 
Content creation 
Supporting communities.
</t>
  </si>
  <si>
    <t xml:space="preserve">Mmenyene Cletus
</t>
  </si>
  <si>
    <t xml:space="preserve">- [x] Community Building
- [ ] Technical Education
- [x] Open Source Contributions
- [x] Research &amp; Academia
- [ ] Developer Advocacy
- [x] Mentorship
- [x] Events &amp; Workshops
- [x] Content Creation
- [x] Regional Community Growth
- [ ] Other
</t>
  </si>
  <si>
    <t xml:space="preserve">Netherlands 
</t>
  </si>
  <si>
    <t xml:space="preserve">Nigeria 
</t>
  </si>
  <si>
    <t>LawanIdriss</t>
  </si>
  <si>
    <t xml:space="preserve">Lawan Idriss
</t>
  </si>
  <si>
    <t xml:space="preserve">Kano, Nigeria
</t>
  </si>
  <si>
    <t xml:space="preserve">https://x.com/Mmenyene_C
</t>
  </si>
  <si>
    <t xml:space="preserve">https://github.com/lawanidriss
</t>
  </si>
  <si>
    <t xml:space="preserve">- [x] PyTorch
- [ ] vLLM
- [x] DeepSpeed
- [x] Ray
- [ ] Helion
- [ ] Safetensors
- [ ] Other
</t>
  </si>
  <si>
    <t xml:space="preserve">https://linkedin.com/in/lawanidriss
</t>
  </si>
  <si>
    <t>agwojames-lang</t>
  </si>
  <si>
    <t xml:space="preserve">AGWO INALEGWU JAMES
</t>
  </si>
  <si>
    <t xml:space="preserve">Abuja, Nigeria
</t>
  </si>
  <si>
    <t xml:space="preserve">While I have not yet made direct code contributions to PyTorch Foundation projects, I have actively followed developments within the PyTorch ecosystem and the broader AI and machine learning community.
My primary strengths lie in content creation, community engagement, education, and ecosystem advocacy. I regularly research emerging technologies, simplify complex concepts into beginner-friendly content, and help introduce technical topics to wider audiences. These skills can be valuable in supporting the growth of open-source communities like PyTorch.
If selected as an ambassador, I plan to contribute by creating educational content, tutorials, explainers, community discussions, and learning resources that help developers, students, and AI enthusiasts better understand and adopt PyTorch. I also look forward to participating more actively in community events, knowledge-sharing initiatives, and ecosystem-building efforts that support the PyTorch Foundation's mission of advancing open-source AI.
</t>
  </si>
  <si>
    <t xml:space="preserve">I am the Founder and CEO of Seamium, building systems that govern how compute infrastructure consumes energy, based on real availability, cost, and operating limits
I work on applied AI system design, technical content on AI infrastructure, and developer community engagement around scalable machine learning systems.
I have used and evaluated PyTorch in applied settings, where model workloads intersect with real infrastructure constraints such as compute availability and energy efficiency.
I am actively expanding my contributions via technical writing, applied experiments, and community engagement in AI systems and infrastructure.
</t>
  </si>
  <si>
    <t>Insufficient evidence: only a brief claim of social content and a three-line plan, with no supporting PyTorch-specific impact or communication examples.</t>
  </si>
  <si>
    <t xml:space="preserve">I want to become a PyTorch Foundation Ambassador to help grow PyTorch in emerging markets and infrastructure-constrained environments.
I want to teach developers how to use PyTorch and how to deploy it efficiently at scale in real-world systems.
My focus is on the intersection of AI workloads, infrastructure, and energy systems, with PyTorch being a key ingredient in modern AI development.
</t>
  </si>
  <si>
    <t xml:space="preserve">I’m applying to become a PyTorch Ambassador because I’m passionate about AI, machine learning, and the open-source technologies that are shaping the future of innovation.
What excites me most about PyTorch is its commitment to making deep learning more accessible, flexible, and developer-friendly. PyTorch has become one of the most widely adopted machine learning frameworks, empowering researchers, developers, and organizations to build cutting-edge AI applications across industries.
</t>
  </si>
  <si>
    <t xml:space="preserve">https://www.github.com/Inalegwu-James 
</t>
  </si>
  <si>
    <t xml:space="preserve">I contribute to community building, technical education, and advocacy of applied AI systems.
This includes building PyTorch-focused sessions in Nigeria, creating hands-on learning content for PyTorch workflows, and sharing knowledge on deploying AI systems in real infrastructure environments.
I will also discuss a systems-level view of how PyTorch workloads interact with compute and energy constraints in production environments using Seamium.
</t>
  </si>
  <si>
    <t xml:space="preserve">- [x] Community Building
- [ ] Technical Education
- [x] Open Source Contributions
- [ ] Research &amp; Academia
- [x] Developer Advocacy
- [x] Mentorship
- [x] Events &amp; Workshops
- [x] Content Creation
- [ ] Regional Community Growth
- [ ] Other
</t>
  </si>
  <si>
    <t xml:space="preserve">As an ambassador, I want to help bridge the gap between technical innovation and community adoption by creating educational content, tutorials, explainers, and community discussions that make AI concepts easier to understand. I’m particularly interested in helping newcomers discover PyTorch, learn its capabilities, and connect with the broader AI ecosystem.
With my experience in content creation, community engagement, and technology advocacy, I believe I can help expand awareness, encourage learning, and contribute to the growth of the PyTorch community while supporting its mission of advancing open and accessible AI development.
</t>
  </si>
  <si>
    <t xml:space="preserve">https://www.linkedin.com/in/inalegwujames 
</t>
  </si>
  <si>
    <t xml:space="preserve">- [x] Community Building
- [x] Technical Education
- [x] Open Source Contributions
- [ ] Research &amp; Academia
- [ ] Developer Advocacy
- [ ] Mentorship
- [ ] Events &amp; Workshops
- [x] Content Creation
- [ ] Regional Community Growth
- [ ] Other
</t>
  </si>
  <si>
    <t xml:space="preserve">https://x.com/james431426
</t>
  </si>
  <si>
    <t xml:space="preserve">I am a cybersecurity analyst, mentor, and community builder focused on helping emerging African talents gain practical exposure to cybersecurity, AI, and modern technology ecosystems.
In January 2025, I founded Cyber Ascend Africa, a growing initiative focused on cybersecurity, AI awareness, mentorship, technical education, and community-driven learning opportunities for young Africans entering technology. Since launch, we have coordinated cybersecurity and AI learning activities supporting over 60 participants through bootcamps, webinars, mentorship initiatives, and community engagement sessions.
Beyond Cyber Ascend Africa, I currently volunteer with the ISC2 Nigeria Chapter under the Education and Training team, where I support webinar coordination, technical learning activities, and community engagement initiatives. I also mentor through the ITU Her CyberTrack program, supporting mentees across Africa in cybersecurity learning and career development.
My interest in PyTorch comes from the growing intersection between AI and cybersecurity operations, especially areas such as AI-assisted threat detection, security automation, and intelligent defensive systems. I actively study AI systems and community-driven learning models while helping beginners understand the practical opportunities AI creates across Africa.
I have also participated in multiple community initiatives including:
- 3MTT Abuja-FCT Community
- ISC2 Nigeria Chapter
- Techstars Abuja Week mentorship activities
- Cybersecurity Challenge Nigeria
- International cybersecurity speaking sessions
- 
Supporting Links:
LinkedIn: https://www.linkedin.com/in/inalegwujames
GitHub: https://github.com/Inalegwu-James
</t>
  </si>
  <si>
    <t>I am Mmenyene Cletus, a digital marketer, community builder, and technology enthusiast with a strong passion for AI, machine learning, innovation, and community growth. I’m goal-driven, always focused on expanding my knowledge and delivering measurable value to every ecosystem I contribute to.
Over the past two years, I have leveraged my experience in content creation, community engagement, and digital marketing to help technology and Web3 projects grow their reach, visibility, and user participation. My content skills include creating high-quality tweets, blogs, threads, educational videos, graphics, articles, infographics, memes, and GIFs that simplify complex concepts and make them accessible to wider audiences.
I’ve worked as an ambassador and contributor for several projects including WhiteBIT, Levva, AlphaMind, RentFi, Parifi, Warden Protocol, Nubit, Fundi Labs, Apex, IBVM, NodeOps, Haven1, and Clapp Finance. My contributions have included educational content creation, tutorials, community engagement, AMAs, onboarding initiatives, and ecosystem growth campaigns.
Some of my proudest achievements include earning an OG role at Levva for consistent contributions and being recognized multiple times as one of NodeOps’ top content creators. These experiences reflect my consistency, creativity, and ability to build and nurture engaged communities.
I want to join the PyTorch Ambassador Program because I believe in PyTorch’s mission of advancing open, accessible, and developer-friendly AI. I’m excited about helping more people discover machine learning and deep learning through educational content, community engagement, tutorials, and awareness campaigns that make AI development more approachable.
What I bring is consistent visibility, creative storytelling, educational outreach, and active community support. I can help grow awareness around PyTorch, engage learners and developers, and contribute to a stronger global community around open-source AI and machine learning.</t>
  </si>
  <si>
    <t xml:space="preserve">I want to become a PyTorch Foundation Ambassador because I strongly believe emerging regions like Africa need more accessible, community-driven AI education and advocacy. Many talented young people are interested in AI but lack mentorship, structured learning pathways, and exposure to practical ecosystems.
As someone already building cybersecurity and AI-focused learning communities, I see the PyTorch Ambassador Program as an opportunity to help bridge that gap by introducing more learners to practical AI concepts, responsible AI discussions, and collaborative learning opportunities.
I am particularly interested in helping connect AI education with cybersecurity awareness, technical mentorship, and community growth across underserved regions. I also want to continue growing as a technical community leader while contributing positively to the global PyTorch ecosystem.
</t>
  </si>
  <si>
    <t xml:space="preserve">As a PyTorch Foundation Ambassador, I would focus on regional community growth, technical education, mentorship, and awareness-building activities across emerging African tech communities.
My contributions would include:
- Organizing AI and cybersecurity community workshops
- Supporting beginner-friendly technical learning sessions
- Mentoring students and early-career professionals
- Creating educational content around AI and security concepts
- Building local awareness around PyTorch and open-source AI ecosystems
- Supporting collaborative learning communities through Cyber Ascend Africa
I would also help encourage responsible and practical AI learning within cybersecurity-focused communities, especially among students and young professionals interested in defensive security, AI operations, and emerging technologies.
</t>
  </si>
  <si>
    <t>Sayma34</t>
  </si>
  <si>
    <t xml:space="preserve">Sayma Shahid
</t>
  </si>
  <si>
    <t xml:space="preserve">https://github.com/Sayma34
</t>
  </si>
  <si>
    <t>tsailiming</t>
  </si>
  <si>
    <t xml:space="preserve">Tsai Li Ming
</t>
  </si>
  <si>
    <t xml:space="preserve">https://www.linkedin.com/in/sayma-shahid-36023b251/
</t>
  </si>
  <si>
    <t xml:space="preserve">http://github.com/tsailiming/
</t>
  </si>
  <si>
    <t xml:space="preserve">www.youtube.com/@saymashahid
</t>
  </si>
  <si>
    <t xml:space="preserve">https://www.linkedin.com/in/tsailiming/
</t>
  </si>
  <si>
    <t xml:space="preserve">- [ ] Open source contributions
- [x] Technical content creation
- [ ] Community leadership
- [ ] Events or workshops
- [ ] Research or academic work
- [x] Mentorship
- [x] University or student outreach
- [ ] Translation or localization efforts
- [ ] Other
</t>
  </si>
  <si>
    <t>This nominee has no demonstrated engagement with PyTorch Foundation projects or ML/AI communities, explicitly acknowledging no code contributions and providing no links to educational content or community activities in the PyTorch space. I cannot recommend this application as the nominee's background is entirely in Web3/crypto marketing with no verifiable foundation to build effective PyTorch ambassadorship upon.</t>
  </si>
  <si>
    <t xml:space="preserve">Python
</t>
  </si>
  <si>
    <t xml:space="preserve">meetup link : https://www.meetup.com/mlaicommunitybd/events/301172439/?eventOrigin=your_events&amp;utm_medium=referral&amp;utm_campaign=event_card_savedevents_share_modal&amp;utm_source=link&amp;utm_version=v2&amp;member_id=376574137
youtube link: www.youtube.com/@saymashahid
</t>
  </si>
  <si>
    <t xml:space="preserve">- [ ] Open source contributions
- [ ] Technical content creation
- [x] Community leadership
- [x] Events or workshops
- [ ] Research or academic work
- [ ] Mentorship
- [ ] University or student outreach
- [ ] Translation or localization efforts
- [ ] Other
</t>
  </si>
  <si>
    <t xml:space="preserve">I started in the community with the Linux User Group Singapore in the ~2012, followed by the Python User Group Singapore (PUGS). I was one of the initial members of PUGS, served as Vice President in 2015, and helped organise PyCon SG in 2016. 
I have contributed to several meetups/events, such as the:
1. May 2026 Co-organized first PyTorch Singapore [meetup](https://luma.com/8scaib4z).
1. [Co-organized](https://vllm.ai/blog/2025-09-16-vllm-meetup) and [presented](https://vllm.ai/blog/2026-04-14-vllm-korea-meetup-2026) at various vLLM meetup in South Korea that attracted hundreds of participants.
1. Assisted at various Hong Kong and China vLLM meetup with @jjzhang
Other non-pytorch community events/contributions:
1. Presented at Singapore's IMDA AI Verify Foundation [meetup](https://aiverifyfoundation.sg/events/oct-2024-meet-up-highlights/).
1. Co-organized and presented at various Red Hat Tech meetups in Singapore in the last 2-3 years (~10).
1. Co-organized several Python User Group meetups in Singapore over the last ~5 years.
1. Wrote the first Ansible hyperv [module](https://github.com/tsailiming/ansible-hyperv) 9 years ago that has been frequently used by the Ansible community until a new hyperv collection just got [contributed](https://github.com/ansible-collections/microsoft.hyperv) in 2026.
1. Presented at the AgentConf 2026 conference in [Hong Kong](https://globalai.community/chapters/hong-kong/events/agentcon-hong-kong/) and [Seoul](https://globalai.community/chapters/seoul/events/agentcon-seoul/).
</t>
  </si>
  <si>
    <t xml:space="preserve">I want to become a PyTorch Foundation Ambassador because I am deeply motivated by both the technical power of PyTorch and its impact as an open-source ecosystem that empowers learners, researchers, and developers worldwide. As a Computer Science and Engineering student focusing on machine learning, I have experienced firsthand how PyTorch lowers the barrier to entry for building and experimenting with deep learning models, making advanced AI accessible even to beginners like myself.
Beyond using PyTorch as a tool, I am passionate about contributing to the community around it. I have seen how many students, especially in underrepresented regions, struggle to access structured guidance in ML. I want to help bridge that gap by sharing knowledge, organizing learning sessions, and creating beginner-friendly resources that make PyTorch easier to understand and adopt.
My long-term goal is to grow in the field of machine learning and MLOps, and I believe that being a PyTorch Ambassador will allow me to both strengthen my technical foundation and give back to the community that is shaping the future of AI. I am especially excited about contributing to open-source culture, supporting new learners, and encouraging more students, particularly women in tech to get involved in AI and deep learning.
Through this role, I hope to actively support PyTorch Foundation projects, grow local and online communities, and help build an inclusive environment where more people can learn, contribute, and innovate with PyTorch.
</t>
  </si>
  <si>
    <t xml:space="preserve">I want to be a PyTorch Foundation Ambassador because I strongly believe in the power of open-source collaboration to accelerate innovation and make AI more accessible. I started my career as one of the first linux engineers in Singapore, have always worked with open source projects before joining Red Hat and helped to establish the early community in Singapore with PUGS. 
As an Ambassador, I want to help grow the PyTorch ecosystem by supporting developers, mentoring new contributors,  and fostering collaboration across communities.  As a community member in the past 20+ years and having taken leadership role in PUGS, I strongly believe that communities are built through knowledge sharing, inclusiveness, and continuous learning.
</t>
  </si>
  <si>
    <t xml:space="preserve">As a PyTorch Foundation Ambassador, I would actively contribute to growing both local and global AI communities through education, mentorship, and technical advocacy.
I plan to organize beginner-friendly workshops and study groups at my university and online, focusing on making PyTorch and deep learning more accessible to students who are just starting in machine learning. I want to break down complex concepts into practical, hands-on learning sessions so that more learners can confidently build their first models using PyTorch. I would also focus on educational outreach by creating simplified learning materials, tutorials, and project walkthroughs that help bridge the gap between theory and real-world implementation. Sharing knowledge through blogs, social media, and community platforms would be a key part of my contribution.
In addition, I am interested in mentoring new contributors who want to get started with open-source, especially those who feel intimidated by large ML frameworks. I would guide them on how to start with small issues, documentation, and project contributions within the PyTorch ecosystem. I also aim to support technical advocacy by encouraging adoption of PyTorch in student communities and highlighting its strengths for research and applied machine learning projects. Through consistent engagement and collaboration, I hope to help strengthen the PyTorch community and make AI education more inclusive and accessible.
</t>
  </si>
  <si>
    <t>alpharomercoma</t>
  </si>
  <si>
    <t xml:space="preserve">Alpha Romer Cooma
</t>
  </si>
  <si>
    <t xml:space="preserve">Manila, Philippines
</t>
  </si>
  <si>
    <t>I was individual contributor of Google ML Community. That's one of my greatest contribution and learning</t>
  </si>
  <si>
    <t xml:space="preserve">As a strong believer in open-source communities, I will focus on three key objectives that help grow the PyTorch ecosystem across Asia. Asia is rapidly becoming one of the most important regions for AI innovation and adoption. During Red Hat Summit 2026, I [presented](https://lucaberton.com/blog/asia-shaping-ai-red-hat-summit-2026/) "How Asia is Shaping AI," where I highlighted the growing influence of developers, startups, enterprises, and research institutions across the region. I believe PyTorch and its ecosystem have a unique opportunity to further empower this growth by building stronger local communities, increasing accessibility to educational resources, and creating more opportunities for contribution. It is my belief that Asia will continue to make an impact, and we can do more by growing the community further. 
 1. Community Outreach and Regional Growth
I will help expand the PyTorch community across ASEAN, South Korea (Rebellions), and China/Hong Kong and Taiwan(@jjzhang) region, working closely with existing community leaders and contributors. This includes organizing meetups, technical workshops, hackathons, and community gatherings that bring together developers, researchers, students, and practitioners. I also want to encourage collaboration across the broader AI ecosystem, including projects such as vLLM, Ray, and other open-source technologies that are commonly used alongside PyTorch.
 2. Technical Advocacy
I will serve as a bridge between developers, enterprises, and the PyTorch Foundation by sharing best practices, success stories, and practical implementation patterns. Through conference presentations, technical blogs, webinars, community discussions, and social media engagement, I will promote PyTorch Foundation projects and encourage adoption across industries.
 3. Mentoring Contributors and Educational Outreach
As a current mentor within my company, I would also want to mentor early adopters and contributors to find their path into the PyTorch ecosystem. Many developers, students, and practitioners want to contribute to open source but are often unsure where to start. I plan to mentor first-time contributors by guiding them through project workflows, issue triage, documentation improvements, community engagement, and the contribution process itself.
As an ambassador, I want to help grow a sustainable and inclusive AI community across Asia, increase participation in PyTorch Foundation projects, and create more opportunities for developers to learn, contribute, and collaborate at both local and global levels.
</t>
  </si>
  <si>
    <t xml:space="preserve">https://github.com/alpharomercoma
</t>
  </si>
  <si>
    <t>zaazie</t>
  </si>
  <si>
    <t xml:space="preserve">https://linkedin.com/in/alpharomercoma
</t>
  </si>
  <si>
    <t xml:space="preserve">- [x] Community Building
- [x] Technical Education
- [x] Open Source Contributions
- [ ] Research &amp; Academia
- [x] Developer Advocacy
- [x] Mentorship
- [x] Events &amp; Workshops
- [x] Content Creation
- [x] Regional Community Growth
- [ ] Other
</t>
  </si>
  <si>
    <t xml:space="preserve">https://huggingface.co/alpharomercoma/models
</t>
  </si>
  <si>
    <t xml:space="preserve">- [x] PyTorch
- [x] vLLM
- [x] DeepSpeed
- [ ] Ray
- [ ] Helion
- [x] Safetensors
- [ ] Other
</t>
  </si>
  <si>
    <t xml:space="preserve">Lawrence Zaazie
</t>
  </si>
  <si>
    <t xml:space="preserve">Wa,Ghana 
</t>
  </si>
  <si>
    <t xml:space="preserve">https://github.com/zaazie
</t>
  </si>
  <si>
    <t xml:space="preserve">I build and teach PyTorch as a **hardware-neutral stack**, the layer that lets one model run across NVIDIA GPUs, TPUs, and custom accelerators, rather than being tied to a single vendor. That runs through both my research and my talks.
I was the technical lead on our undergraduate thesis called **Visual-Qwen**, a multimodal model that detects "sludge," the short-form videos that stack unrelated clips to slip past content moderation. It pairs a frozen CLIP vision encoder with a Q-Former and a LoRA-tuned Qwen3-4B, trained in PyTorch, and reaches **96.67%** accuracy on a held-out set. Everything is open: the paper, the code, the 2,000-video dataset, and the model weights. I have published 13 models on Hugging Face along with a live demo, and the work was supported by compute from Google's TPU Research Cloud and the YouTube Researcher Program.
My talks carry the same hardware-neutral message across different silicon. At **PyTorch Conference Europe 2026** in Paris (Frameworks and Compilers track) and at Data Engineering Pilipinas, I gave "De-mystifying PyTorch for ASICs."
In 2025, I gave:
- "Supercharge your ML Research with Google's TPU Research Cloud" at SOFTCON Bytes
- "Boost ML Research with TPU Research Cloud" at GDG Cloud Manila,
- "Frontiers of Modern AI: Multimodality and Accelerated Computing" at FEU Institute of Technology.
This August 2026, I am giving "From Zero to Trainium: Building Your First Model on AWS's Native PyTorch Stack" at AWS Community Day Philippines. The slides for every talk are public.
I bring this work back to students who rarely see frontier ML. After Paris, I delivered a 90-minute recap on Data Engineering Pilipinas' YouTube channel and a talk to 100+ students and professors at FEU Tech. Across more than 20 talks, I have reached over 2,000 students and professionals, including a 1,000+ audience at SOFTCON.
Links:
- [PyTorch Conference Europe 2026 talk](https://pytorchconferenceeu2026.sched.com/)
- [Research, paper, and demo](https://micromarc.vercel.app/)
- [Model weights and datasets](https://huggingface.co/alpharomercoma)
- [Code](https://github.com/alpharomercoma/vqwen-qformer)
- [Talks and writing](https://alpharomer.com/)
</t>
  </si>
  <si>
    <t xml:space="preserve">https://linkedin.com/in/powellzaazie 
</t>
  </si>
  <si>
    <t xml:space="preserve">https://x.com/powellzaazie 
</t>
  </si>
  <si>
    <t>Some meetup and YouTube activity, but the application does not describe concrete PyTorch outputs, reach, or prior impact; the plan is stronger than the evidence.</t>
  </si>
  <si>
    <t xml:space="preserve">I trained a multimodal model from the Philippines without owning a single GPU. PyTorch made that possible because the same code runs on TPUs and other accelerators, so I could build on Google's TPU Research Cloud instead of hardware I could not afford. Hardware neutrality is not just a saying to me; it is the reason my research exists.
I want to be an ambassador because the most useful thing I can give my community is technical depth, not just enthusiasm. Most students near me are taught one vendor and one framework and assume the frontier is out of reach.
I have spent two years proving otherwise, in research and in talks, and I want to do it with the Foundation's projects, vLLM and DeepSpeed included, behind me rather than on my own.
The values line up with how I already work. Everything I build I publish openly, the weights, the data, and the code, because that is how I learned in the first place. Openness got me here, and neutrality is what I teach. The ambassador role is the larger version of that.
</t>
  </si>
  <si>
    <t xml:space="preserve">I would contribute the way I already work, as a technical educator, with more reach and consistency.
- **Technical advocacy and workshops:** I would keep giving the accelerator-neutral talks and turn them into hands-on workshops, where students take one PyTorch model and run it across TPUs, Trainium, and ROCm, not only CUDA. This is the practical side of the Foundation's neutrality, and it is a level of depth that introductory sessions in my region rarely reach.
- **Content:** after every conference, I publish a recap, a video, and a write-up, and I write technical tutorials, including one on running PyTorch research on Google TPUs. I would do the same for PyTorch releases and events, written for builders in Southeast Asia.
- **Research mentorship:** I led a five-person team to a published model with open weights and a public dataset. I would guide students down the same path: their first real PyTorch project shipped in the open, and point the strongest toward the ecosystem projects, vLLM and DeepSpeed, where help is needed.
This is realistic because it is what I already do. As an ambassador, it becomes consistent, official, and aimed squarely at PyTorch.
</t>
  </si>
  <si>
    <t xml:space="preserve">- [ ] Open source contributions
- [x] Technical content creation
- [x] Community leadership
- [x] Events or workshops
- [x] Research or academic work
- [x] Mentorship
- [x] University or student outreach
- [x] Translation or localization efforts
- [ ] Other
</t>
  </si>
  <si>
    <t xml:space="preserve">Ive been organizing events across university campuses, from 2021 as a google developer clubs lead focused on university campuses where i made sure i hosted events bringing students and mentors to work on projects as well as do academic research work. Organized 6 events quaterly every year from 2021 till now across universiy campuses maninly in the bono region of ghana.Served as a yellow card financial ambassador serving across the northern part of ghana where i hosted events drawing over 1000 stuents across campuses.
</t>
  </si>
  <si>
    <t xml:space="preserve">Philippines
</t>
  </si>
  <si>
    <t xml:space="preserve">I want to become a pytorch foundation ambassador to spread and lead the outreach of pytourch foundation works across all university campuses in ghana by collaborating with the computer science society across all the over 30 universities,colleges of education,technical universities as well as nursing schools and onsite hubs across the country.
</t>
  </si>
  <si>
    <t xml:space="preserve">i will contribute through technical education,organizing events across university campuses,creating content using my social media pages and hosting virtual sessions to talk about pytorch foundation
</t>
  </si>
  <si>
    <t xml:space="preserve">Ghana
</t>
  </si>
  <si>
    <t>subinz1</t>
  </si>
  <si>
    <t xml:space="preserve">Subin George 
</t>
  </si>
  <si>
    <t xml:space="preserve">Bengaluru, India
</t>
  </si>
  <si>
    <t xml:space="preserve">https://github.com/subinz1
</t>
  </si>
  <si>
    <t xml:space="preserve">https://gitlab.com/sugeorge
</t>
  </si>
  <si>
    <t xml:space="preserve">This nominee demonstrates strong technical education and advocacy through verified conference speaking (PyTorch Conference Europe 2026), open research publication (Visual-Qwen multimodal model with 96.67% accuracy), and sustained community activities as a GitHub Campus Expert with 22+ documented talks reaching students across Southeast Asia. </t>
  </si>
  <si>
    <t xml:space="preserve">https://www.linkedin.com/in/subingeorgemalana
</t>
  </si>
  <si>
    <t xml:space="preserve">crcr-test, test-infra, ci-infra
</t>
  </si>
  <si>
    <t xml:space="preserve">- [x] Open source contributions
- [x] Technical content creation
- [ ] Community leadership
- [ ] Events or workshops
- [x] Research or academic work
- [x] Mentorship
- [ ] University or student outreach
- [ ] Translation or localization efforts
- [ ] Other
</t>
  </si>
  <si>
    <t xml:space="preserve">Contribution mainly towards CRCR Out of tree Contribution.
And focusing on Tests and CI infra components 
</t>
  </si>
  <si>
    <t xml:space="preserve">Better collaboration and expanding knowledge 
</t>
  </si>
  <si>
    <t xml:space="preserve">Mentoring community contributors and Technical Advocacy 
</t>
  </si>
  <si>
    <t xml:space="preserve">- [x] Community Building
- [x] Technical Education
- [x] Open Source Contributions
- [x] Research &amp; Academia
- [x] Developer Advocacy
- [ ] Mentorship
- [ ] Events &amp; Workshops
- [ ] Content Creation
- [ ] Regional Community Growth
- [ ] Other
</t>
  </si>
  <si>
    <t>jhliu17</t>
  </si>
  <si>
    <t>jafraustro</t>
  </si>
  <si>
    <t xml:space="preserve">Jaime Alberto Fraustro Valdez
</t>
  </si>
  <si>
    <t xml:space="preserve">Zapopan, Jalisco, México
</t>
  </si>
  <si>
    <t xml:space="preserve">Junhao Liu
</t>
  </si>
  <si>
    <t xml:space="preserve">Irvine, California, United States
</t>
  </si>
  <si>
    <t xml:space="preserve">https://github.com/jafraustro
</t>
  </si>
  <si>
    <t xml:space="preserve">https://www.linkedin.com/in/jfraustro/
</t>
  </si>
  <si>
    <t xml:space="preserve">https://github.com/jhliu17
</t>
  </si>
  <si>
    <t>Substantial direct PyTorch test-infra/CRCR contribution is visible, but the application provides almost no evidence of education, mentorship, communication, or a concrete ambassador plan.</t>
  </si>
  <si>
    <t xml:space="preserve">torchrec
</t>
  </si>
  <si>
    <t xml:space="preserve">https://www.linkedin.com/in/junhao-liu-39b6721b0/
</t>
  </si>
  <si>
    <t xml:space="preserve">- [x] Open source contributions
- [ ] Technical content creation
- [ ] Community leadership
- [x] Events or workshops
- [ ] Research or academic work
- [x] Mentorship
- [ ] University or student outreach
- [ ] Translation or localization efforts
- [ ] Other
</t>
  </si>
  <si>
    <t xml:space="preserve">I am committed to expanding PyTorch adoption in Mexico by building a strong bridge between academia, open-source contribution, and community learning. My focus is on students in AI-related programs (undergraduate and graduate), helping them use PyTorch not only in coursework, but also in thesis projects, research, and production-oriented experimentation.
Over the past year, I have contributed actively to the PyTorch ecosystem through both technical contributions and education. I participated in resolving issues in the torch-xpu repository, strengthening my understanding of real-world framework development and contributor workflows. I also delivered workshops including “Artificial Intelligence with PyTorch – Understanding the PyTorch API” at the Congreso Internacional de Ingenieras UNIVA 2025: Inteligencia Artificial para una Humanidad Sostenible, and “PyTorch GPU Acceleration.” The workshops were built around practical, hands-on material using this repository: https://github.com/rbernalc/pytorch-mx.
In addition, I taught senior undergraduate computer science courses, where I guided students to design agents that optimize data-science workloads through Triton kernel implementations. This helped students connect deep learning concepts with systems-level performance engineering while reinforcing open-source and software engineering best practices.
Looking ahead, I will focus on scaling this work at ITESM university first. Instead of limiting outreach to computer science programs, I will extend PyTorch training and project support to students in mechatronics and electrical engineering, where AI-driven optimization and embedded intelligence are increasingly relevant. Besides, I will use the existing repository as the central learning and collaboration space: https://github.com/rbernalc/pytorch-mx. My priority is to increase its visibility, improve its learning materials, and position it as a practical entry point for new PyTorch users and contributors.
</t>
  </si>
  <si>
    <t xml:space="preserve">https://scholar.google.com/citations?user=lWWzX6cAAAAJ
</t>
  </si>
  <si>
    <t xml:space="preserve">I want to become a PyTorch Foundation Ambassador because I strongly believe in PyTorch’s philosophy: lowering barriers so anyone can start building AI, regardless of their background or hardware limitations. In my teaching experience, I have seen how quickly students can move from theory to real solutions when they use PyTorch. It helps them train neural networks, experiment confidently, and solve problems that matter in their own fields.
I also see PyTorch as one of the strongest frameworks for developing modern AI applications. By promoting its use, I can help students and early-career developers build practical skills that prepare them for research and industry. As an Ambassador, I want to expand access, mentor new users, and guide more learners toward becoming active contributors to the open-source AI ecosystem.
</t>
  </si>
  <si>
    <t xml:space="preserve">- [x] PyTorch
- [x] vLLM
- [x] DeepSpeed
- [ ] Ray
- [ ] Helion
- [x] Safetensors
- [x] Other
</t>
  </si>
  <si>
    <t xml:space="preserve">I would contribute by combining technical contribution, teaching, and community building.
Tasks:
- I will continue contributing to PyTorch ecosystem projects through issue resolution.
- I will lead hands-on PyTorch training within one university. I will not limit this to computer science students: I will also engage mechatronics and electrical engineering programs, where PyTorch can be applied to optimization, automation, and intelligent systems. 
- I will use the repository https://github.com/rbernalc/pytorch-mx as the central hub for workshops, learning resources, and reproducible examples. 
</t>
  </si>
  <si>
    <t xml:space="preserve">Hugging Face Accelerate, Hugging Face Transformers, PyTorch FSDP/FSDP2 and torch.distributed ecosystem
</t>
  </si>
  <si>
    <t xml:space="preserve">- [x] Community Building
- [x] Technical Education
- [ ] Open Source Contributions
- [ ] Research &amp; Academia
- [ ] Developer Advocacy
- [x] Mentorship
- [ ] Events &amp; Workshops
- [ ] Content Creation
- [x] Regional Community Growth
- [ ] Other
</t>
  </si>
  <si>
    <t xml:space="preserve">México
</t>
  </si>
  <si>
    <t xml:space="preserve">- [x] Open source contributions
- [x] Technical content creation
- [ ] Community leadership
- [x] Events or workshops
- [x] Research or academic work
- [x] Mentorship
- [x] University or student outreach
- [x] Translation or localization efforts
- [ ] Other
</t>
  </si>
  <si>
    <t>DhruvPatel1401</t>
  </si>
  <si>
    <t xml:space="preserve">Patel Dhruv Harshadbhai
</t>
  </si>
  <si>
    <t xml:space="preserve">Ahmedabad,Gujarat,India
</t>
  </si>
  <si>
    <t xml:space="preserve">My contributions are centered on PyTorch-based research, large-model training infrastructure, and open-source research artifacts for LLMs, NLP, and AI for Biology.
I recently earned my PhD in Computer Science from the University of California, Irvine. My research uses PyTorch extensively for large language models, agentic reasoning, deep generative models, distributed training, and AI for Biology. Recent projects include SC-Arena, a natural-language benchmark for single-cell reasoning and knowledge-augmented evaluation; Single-Cell Omics Arena, which evaluates large language models for automatic cell-type annotation on single-cell omics data; work on multimodal cell-context instruction tuning for conditional DNA regulatory sequence generation; and interpretable learning methods for understanding transcriptional regulatory redundancy. These projects sit at the intersection of PyTorch, LLMs, biological data modeling, and scientific discovery, and they have been published or accepted at venues including ICLR 2026, KDD 2025, ICIP 2025, Briefings in Bioinformatics, ACML 2024, CIKM 2024, AAAI 2025, and ACL 2021. My ACML 2024 work received the Best Student Paper Award.
In open source, I contributed to Hugging Face Accelerate by fixing FSDP2 issues in wrap policy and mixed precision. The PR was reviewed, approved, merged, and included in the Accelerate v1.7.0 release notes. This contribution is directly related to PyTorch distributed training and helps users run large models more reliably with FSDP2. I also maintain and release research code and tools, including slurmic for running Python functions on Slurm for machine learning research, nnpert for learnable subset perturbations and global feature explanations in biological systems, SOAR for Single-Cell Omics Arena, scACT for single-cell cross-modality translation, and MCR for multimodal helpfulness prediction from my ACL 2021 work.
Beyond code and papers, I have contributed through teaching, mentoring, academic service, and student outreach. I served as a teaching assistant for machine learning and discrete mathematics courses at UC Irvine, have mentored junior researchers and interns, and have maintained active academic connections across UC Irvine, the University of Chinese Academy of Sciences, South China University of Technology, and collaborators in AI and computational biology. I also review for major AI venues and journals, including NeurIPS, ICML, ICLR, KDD, ACL, EMNLP, AAAI, ICCV, AISTATS, IEEE Transactions, Pattern Recognition, Knowledge-Based Systems, and Neurocomputing.
Supporting links:
- Homepage: https://jhliu17.github.io/
- Google Scholar: https://scholar.google.com/citations?user=lWWzX6cAAAAJ
- GitHub: https://github.com/jhliu17
- Hugging Face Accelerate FSDP2 PR: https://github.com/huggingface/accelerate/pull/3528
- Hugging Face Accelerate v1.7.0 release notes: https://github.com/huggingface/accelerate/releases/tag/v1.7.0
- Open-source projects page: https://jhliu17.github.io/resources.html
- slurmic: https://jhliu17.github.io/slurmic/
- nnpert: https://github.com/jhliu17/nnpert
- SOAR: https://github.com/jhliu17/soar
- scACT: https://github.com/aicb-ZhangLabs/scACT
- MCR: https://github.com/jhliu17/MCR
</t>
  </si>
  <si>
    <t xml:space="preserve">https://www.linkedin.com/in/dhruvptl1/
</t>
  </si>
  <si>
    <t xml:space="preserve">- [x] PyTorch
- [x] vLLM
- [x] DeepSpeed
- [x] Ray
- [x] Helion
- [x] Safetensors
- [ ] Other
</t>
  </si>
  <si>
    <t>This nominee demonstrates solid technical contributions to the PyTorch ecosystem with four merged PRs to intel/torch-xpu-ops and active participation in the pytorch-mx educational repository, talks about workshops and university relationships but was unable to verify with the details given, still a strong proposal.</t>
  </si>
  <si>
    <t xml:space="preserve">I want to become a PyTorch Foundation Ambassador because PyTorch has been central to my growth as a researcher, engineer, and teacher. During my PhD, PyTorch was the main framework I used to build, train, debug, scale, and share models across LLM, NLP, generative modeling, and AI for Biology research. The openness of the PyTorch ecosystem made it possible for me to learn from other researchers, adapt the latest techniques quickly, and contribute back when I found issues in real large-model training workflows.
I am especially motivated by the community side of the Ambassador role. I enjoy teaching, explaining new techniques, and helping others move from "I can run an example" to "I understand how to build and debug my own model." As a recent PhD graduate and junior engineer, I still remember the friction points beginners face: choosing the right abstraction, understanding tensors and autograd, debugging distributed training, reading framework errors, and translating papers into working PyTorch code. That perspective helps me explain PyTorch in a way that is practical, encouraging, and beginner-aware, especially for students and researchers who are entering deep learning from another domain.
I also want to help connect research communities that are increasingly dependent on PyTorch but may not yet feel close to the PyTorch community itself. AI for Biology is a good example. Many biology researchers now want to use LLMs, foundation models, and generative models, but they need accessible education, reproducible examples, and community support to use PyTorch effectively. Becoming an Ambassador would give me a structured way to contribute to that bridge: sharing latest technical updates, creating educational content, supporting new users, and bringing more students and domain scientists into the PyTorch ecosystem.
</t>
  </si>
  <si>
    <t xml:space="preserve">I am an active student leader, Python developer, cybersecurity researcher, and community advocate who is passionate about artificial intelligence, open-source technologies, and developer education. My involvement with the PyTorch ecosystem stems from my broader interest in AI, machine learning, and building impactful technology solutions that can be applied to real-world challenges.
Currently, I am actively exploring deep learning concepts and PyTorch through self-learning, technical research, and hands-on experimentation. I regularly engage with AI and developer communities to stay updated with the latest advancements in machine learning, open-source collaboration, and emerging technologies.
Beyond my technical interests, I have demonstrated leadership through multiple community and academic initiatives. I currently serve as a leadership member of my university's Drone and Robotics Club, where I collaborate with students on technology-focused activities, innovation initiatives, and skill-development programs. I am also involved as a Google Student Ambassador, helping students discover learning opportunities, developer programs, and emerging technologies while encouraging participation in technical communities.
In addition, I am an active member of several global technology communities, including Google Developer Groups (GDG), AWS Community, and IEEE. Through these communities, I regularly participate in technical sessions, networking events, workshops, hackathons, and knowledge-sharing initiatives that promote innovation, collaboration, and continuous learning. These experiences have allowed me to connect with developers, researchers, industry professionals, and technology enthusiasts from diverse backgrounds while expanding my technical and leadership skills.
At KN University, I have actively contributed to organizing and coordinating numerous expert talks, technical events, workshops, and knowledge-sharing sessions featuring industry professionals, researchers, and technology leaders. These initiatives have helped students gain exposure to practical industry insights, innovation trends, entrepreneurship, artificial intelligence, cybersecurity, robotics, and emerging technologies. Through these activities, I have contributed to building a stronger culture of technical learning, collaboration, and professional development within the university community.
My technical background includes developing Python-based projects and conducting extensive research in cybersecurity, web security, and software development. One of my major ongoing projects involves the development of a Website Security Scanner platform, where I have researched, analyzed, and integrated multiple security assessment tools, vulnerability detection techniques, and automation workflows. This experience has strengthened my skills in Python development, problem-solving, system architecture, research, and open-source technologies.
As a prospective PyTorch Ambassador, I aim to contribute by:
• Creating beginner-friendly AI and PyTorch learning resources.
• Organizing workshops, technical sessions, and community learning initiatives.
• Mentoring students who are starting their journey in machine learning, artificial intelligence, and open source.
• Promoting responsible and practical adoption of AI technologies.
• Encouraging students and developers to contribute to open-source projects and the broader PyTorch ecosystem.
• Building collaborative learning communities that make AI education more accessible and inclusive.
I strongly believe that community-driven learning is one of the most effective ways to accelerate innovation. Through leadership, technical education, mentorship, event organization, and community advocacy, I hope to help expand the reach of PyTorch among students, developers, researchers, and aspiring AI practitioners while fostering a more collaborative and inclusive open-source ecosystem.
Supporting Links:
GitHub: https://github.com/DhruvPatel1401
LinkedIn: https://www.linkedin.com/in/dhruvptl1/
KN University Expert Sessions and Events: https://knu.edu.in/expert-talk/
</t>
  </si>
  <si>
    <t>karthikreddy-02</t>
  </si>
  <si>
    <t xml:space="preserve">Sai Karthik Reddy Koralla
</t>
  </si>
  <si>
    <t xml:space="preserve">I want to become a PyTorch Foundation Ambassador because I believe that open-source communities have the power to make advanced technologies accessible to everyone. As someone who is passionate about Python, artificial intelligence, cybersecurity, and emerging technologies, I see PyTorch as one of the most influential frameworks driving innovation in AI and machine learning today.
Throughout my academic and technical journey, I have benefited greatly from community-driven learning, open-source resources, and knowledge shared by developers around the world. Becoming a PyTorch Foundation Ambassador would give me the opportunity to give back to the community by helping others learn, build, and grow with PyTorch.
I am particularly motivated by the opportunity to bridge the gap between students and industry. Through my involvement in university communities, technical clubs, developer programs, and technology events, I have seen how many students are eager to learn AI and machine learning but often struggle to find guidance, practical resources, and supportive communities. I want to help make PyTorch more approachable by organizing workshops, creating educational content, mentoring beginners, and encouraging hands-on learning.
As a leadership member of my university's Drone and Robotics Club, a Google Student Ambassador, and an active participant in communities such as GDG, AWS, and IEEE, I have developed experience in community building, event organization, and technical advocacy. I want to leverage these experiences to expand awareness of PyTorch, inspire more students to explore AI, and encourage greater participation in open-source projects.
The PyTorch Foundation's commitment to collaboration, innovation, and open-source development strongly aligns with my own values. As an Ambassador, I would not only promote PyTorch within my university and local developer communities but also work to create opportunities for learning, collaboration, and contribution that help strengthen the broader ecosystem.
For me, becoming a PyTorch Foundation Ambassador is not just about representing a technology; it is about empowering people, fostering innovation, and helping build a community where students, developers, and researchers can learn from one another and create meaningful impact through AI.
</t>
  </si>
  <si>
    <t xml:space="preserve">Atlanta,GA
</t>
  </si>
  <si>
    <t xml:space="preserve">As a PyTorch Foundation Ambassador, I would focus on three contribution directions.
First, I would create technical content for both English-speaking and Chinese-speaking communities. I am comfortable communicating in both languages, and my background in LLMs, NLP, distributed training, and AI for Biology gives me a strong base for tutorials that connect modern research practice with PyTorch implementation details. Potential topics include practical FSDP/FSDP2 training for large models, debugging distributed PyTorch workflows, using PyTorch with Hugging Face Accelerate and Transformers, building reproducible research code, and implementing LLM or biological foundation model papers in a clean, beginner-friendly way. I would aim to produce blog posts, short tutorials, example repositories, and presentation materials that researchers and students can reuse.
Second, I would support educational outreach, especially at universities and in interdisciplinary AI for Science communities. I recently graduated from UC Irvine and have strong university connections through UC Irvine, the University of Chinese Academy of Sciences, South China University of Technology, collaborators, students, and interns. I would use those connections to organize or support PyTorch-focused reading groups, hands-on workshops, invited talks, and virtual study sessions. A particular focus would be helping biology-background researchers learn enough PyTorch to prototype models, understand training pipelines, and participate in open-source AI for Biology work. This is an emerging area where better education can directly accelerate scientific discovery.
Third, I would continue contributing to open source and mentor new contributors. My merged Accelerate FSDP2 contribution came from practical experience using PyTorch for large-model training, and I would like to continue finding issues, improving examples, and helping users understand the distributed training stack. I can also help new contributors learn how to make small, high-quality contributions: reproducing bugs, writing clear issues, adding tests, and communicating with maintainers. My goal would be to make the PyTorch community feel more approachable to students, early-career engineers, and researchers crossing into machine learning from other fields.
</t>
  </si>
  <si>
    <t xml:space="preserve">https://github.com/karthikreddy-02
</t>
  </si>
  <si>
    <t xml:space="preserve">As a PyTorch Foundation Ambassador, I would focus on expanding awareness, accessibility, and adoption of PyTorch among students, developers, researchers, and aspiring AI practitioners. My goal is to help build a strong and sustainable AI community by connecting learners, educators, industry professionals, and open-source contributors.
Drawing from my experience as a Google Student Ambassador, a leadership member of my university's Drone and Robotics Club, and an active participant in communities such as GDG, AWS, and IEEE, I have developed strong skills in community building, event organization, mentorship, and technical advocacy. Through these experiences, I have helped organize expert talks, technical events, workshops, and knowledge-sharing sessions that have enabled students to learn from industry leaders and emerging technology experts.
One of the reasons I believe I can make a meaningful impact as a PyTorch Foundation Ambassador is my connection to the rapidly growing Ahmedabad-Gandhinagar-GIFT City technology ecosystem. This region is becoming one of India's fastest-growing technology and innovation hubs, attracting startups, multinational companies, Global Capability Centers (GCCs), financial institutions, and technology organizations. With the continued growth of GIFT City, increasing investments in AI and digital infrastructure, and the arrival of major technology companies, there is a tremendous opportunity to cultivate a thriving AI and open-source community.
Being actively involved in university networks and developer communities gives me direct access to students, aspiring developers, researchers, and working professionals who are eager to learn and adopt emerging technologies. As a PyTorch Ambassador, I would leverage these networks to introduce more people to PyTorch through hands-on workshops, technical sessions, AI bootcamps, hackathons, and collaborative learning initiatives.
I am also passionate about educational outreach and would create beginner-friendly learning resources, tutorials, project guides, and technical content that simplify AI and machine learning concepts for newcomers. My goal would be to make PyTorch more approachable and accessible, especially for students who may not have direct access to advanced AI learning opportunities.
In addition, I would actively mentor learners and encourage participation in open-source projects, research initiatives, and community-driven development. By helping individuals gain confidence, practical experience, and industry-relevant skills, I hope to create a pipeline of future contributors, researchers, and technology leaders.
I strongly believe that the future of AI will be shaped not only by technology but also by the strength of the communities that support it. Through education, mentorship, technical advocacy, content creation, and community engagement, I want to help expand the reach of PyTorch while fostering an inclusive environment where students, developers, researchers, and professionals can learn, collaborate, and innovate together.
My long-term vision is to help build one of the strongest regional AI and PyTorch communities in India, empowering the next generation of AI practitioners and open-source contributors while creating meaningful impact both locally and globally.
</t>
  </si>
  <si>
    <t xml:space="preserve">https://www.linkedin.com/in/saikarthikreddykoralla/
</t>
  </si>
  <si>
    <t xml:space="preserve">My contributions to the PyTorch ecosystem are to SGLang, the serving engine that joined the PyTorch Ecosystem in March 2025. I merged PR #19368, which added lazy imports so heavy dependencies like PyTorch are not loaded on lightweight CLI commands, improving startup responsiveness, along with fail-fast validation of server configuration. I also opened #20408, proposing a data-parallel-attention fix that uses a globally synchronized flag to keep overlap scheduling consistent across ranks; it was not merged, but it engaged directly with SGLang's distributed-execution internals.
More broadly, PyTorch is the backbone of my interpretability research: I build linear-probe and activation-steering pipelines in PyTorch across roughly ten open-weight models to study refusal behavior in safety-trained LLMs, work now under submission at EMNLP 2026. That keeps me working in PyTorch forward hooks, hidden-state capture, and batched inference regularly.
</t>
  </si>
  <si>
    <t>xianbaoqian</t>
  </si>
  <si>
    <t xml:space="preserve">Tiezhen
</t>
  </si>
  <si>
    <t xml:space="preserve">Two things drive me. PyTorch is the tool my own work runs on, from my contribution to SGLang to the interpretability research I build entirely in PyTorch, so growing the community around it is growing the foundation under my own field. That gives me a real stake in it, not a borrowed one. The second motivation, and the one I care about most, is the on-ramp. The gap between being curious about ML and making a first real contribution is wider than it should be, and I was on the wrong side of it not long ago. I want to shorten that gap for the people coming up behind me, and being an ambassador is the most direct way I can turn that into something other people actually feel.
</t>
  </si>
  <si>
    <t xml:space="preserve">Australia
</t>
  </si>
  <si>
    <t xml:space="preserve">Starting graduate school in the DMV this year puts me in a region dense with universities and students, and that access is where I can do the most. Concretely:
Student-focused workshops. Run hands-on PyTorch sessions on campus aimed at first contributions, taking people from "I trained a model in a notebook" to "I opened my first PR," using the same path I went through with SGLang.
A recurring local touchpoint. Host a regular meetup or study group rather than one-off talks, since consistency is what actually builds a community.
Lowering the contribution barrier. Mentor newcomers through their first issues and PRs on PyTorch-ecosystem projects, and write short, practical guides on the parts that tripped me up.
Technical content from real work. Share accessible write-ups from my own PyTorch use in interpretability research, connecting students to a concrete research application of the tool.
</t>
  </si>
  <si>
    <t xml:space="preserve">https://github.com/xianbaoqian
</t>
  </si>
  <si>
    <t xml:space="preserve">United States of America
</t>
  </si>
  <si>
    <t xml:space="preserve">https://www.linkedin.com/in/tiezhen/?locale=en
</t>
  </si>
  <si>
    <t xml:space="preserve">https://x.com/Xianbao_QIAN
</t>
  </si>
  <si>
    <t>I recently completed my PhD in Computer Science at UC Irvine, with research spanning LLMs, NLP, agentic reasoning, deep generative models, and AI for Biology. My work has appeared at ICLR, KDD, ICIP, Briefings in Bioinformatics, ACML, CIKM, AAAI, ACL, and other venues, and my ACML 2024 paper received the Best Student Paper Award. I have served as a teaching assistant for UC Irvine machine learning and discrete mathematics courses, mentored junior researchers and interns, and reviewed for major AI conferences and journals. I hope to bring this combination of research depth, PyTorch implementation experience, bilingual communication ability, and university outreach to the PyTorch Ambassador community.
Relevant links:
- Homepage: https://jhliu17.github.io/
- Google Scholar: https://scholar.google.com/citations?user=lWWzX6cAAAAJ
- GitHub: https://github.com/jhliu17
- LinkedIn: https://www.linkedin.com/in/junhao-liu-39b6721b0/
- Accelerate FSDP2 merged PR: https://github.com/huggingface/accelerate/pull/3528
- Open-source projects: https://jhliu17.github.io/resources.html</t>
  </si>
  <si>
    <t>Strong general student leadership and event exposure, but the nominee is still exploring PyTorch and shows little direct Foundation engagement or PyTorch-specific impact.</t>
  </si>
  <si>
    <t xml:space="preserve">For over three years working on ecosystem at Hugging Face, I worked
with researchers across APAC to publish their open-weight models,
overwhelmingly as PyTorch checkpoints, to a global audience. And now
helping the vLLM ecosystem, and write on the new ML infrastructure.
- Speaker, PyTorch Day China 2025 (co-hosted by PyTorch Foundation and
  BAAI): "Diving in Hugging Face Hub." Featured in the official PyTorch
  blog recap: https://pytorch.org/blog/pytorch-day-china-recap/
- Co-creator of the zh-ai-community organization on Hugging Face, which
  maintains the China AI Timeline, Chinese Open-Source Heatmap, etc.
- Contributions across huggingface and vLLM projects.
- Cited expert source on Chinese open-source AI in MIT Technology Review.
</t>
  </si>
  <si>
    <t xml:space="preserve">APAC is producing a disproportionate share of frontier open-weight models
right now, including Qwen, DeepSeek, Kimi, GLM, MiniMax, and almost all of it
ships as PyTorch. The Foundation's recent moves to host vLLM and 
Safetensors extend the surface area further. I want to formalize the
bridge work I have been doing: making it easier for APAC labs to land on
the PyTorch ecosystem, and easier for the global community to find what
they ship.
</t>
  </si>
  <si>
    <t xml:space="preserve">As a PyTorch Ambassador, I plan to expand these efforts through the
following initiatives:
  Producing in-depth technical content on PyTorch Foundation projects,
  mostly PyTorch and vLLM.
  Building a feedback channel between PyTorch Foundation projects and
  APAC frontier labs and inference operators.
  Incubating emerging APAC ML infrastructure projects toward PyTorch
  Ecosystem Project status — mentoring a small number of candidates each
  year through the intake process, and surfacing them to TAC sponsors.
  Attending and supporting major APAC AI events as a PyTorch Foundation
  voice and helping community organizers connect to Foundation resources.
</t>
  </si>
  <si>
    <t xml:space="preserve">- [x] Community Building
- [x] Technical Education
- [ ] Open Source Contributions
- [ ] Research &amp; Academia
- [x] Developer Advocacy
- [x] Mentorship
- [ ] Events &amp; Workshops
- [x] Content Creation
- [x] Regional Community Growth
- [ ] Other
</t>
  </si>
  <si>
    <t>imaloksharma</t>
  </si>
  <si>
    <t xml:space="preserve">Alok Kumar
</t>
  </si>
  <si>
    <t xml:space="preserve">Delhi
</t>
  </si>
  <si>
    <t xml:space="preserve">China
</t>
  </si>
  <si>
    <t xml:space="preserve">https://github.com/imaloksharma
</t>
  </si>
  <si>
    <t>Thank you for your consideration and looking forward to be working together.</t>
  </si>
  <si>
    <t xml:space="preserve">https://gitlab.com/imaloksharma
</t>
  </si>
  <si>
    <t xml:space="preserve">https://www.linkedin.com/in/imalokkumar/
</t>
  </si>
  <si>
    <t xml:space="preserve">https://x.com/imaloksharma_
</t>
  </si>
  <si>
    <t>Zain-Khan1095</t>
  </si>
  <si>
    <t xml:space="preserve">Zain khan
</t>
  </si>
  <si>
    <t xml:space="preserve">Taunsa,punjab,Pakistan 
</t>
  </si>
  <si>
    <t xml:space="preserve">https://github.com/Zain-Khan1095
</t>
  </si>
  <si>
    <t xml:space="preserve">https://www.linkedin.com/in/zainkhan1095
</t>
  </si>
  <si>
    <t xml:space="preserve">I am Alok Kumar, a Full Stack Developer, AI enthusiast, mentor, and community leader passionate about open-source technologies and developer education. I am the founder of the CDN (Community of Developers Network), a rapidly growing technology community with 5,000+ members dedicated to learning, collaboration, innovation, and open-source contribution.
Through CDN and other developer communities, I have organized and led numerous workshops, hackathons, technical bootcamps, and mentorship programs focused on Artificial Intelligence, Machine Learning, PyTorch, Cloud Computing, Web Development, and emerging technologies. These initiatives have helped hundreds of students and professionals gain practical skills and industry exposure.
As a mentor and community organizer, I have guided 500+ students and developers through hackathons, project development, and career-focused learning programs. I have also contributed to the growth of technology communities through knowledge-sharing sessions, technical content, and community engagement activities.
My involvement with communities such as GDG New Delhi, Microsoft Learn Student Ambassador initiatives, and other developer networks has strengthened my commitment to open-source collaboration and developer empowerment. Additionally, I have developed 30+ web and software projects, applying AI and modern development technologies to solve real-world problems.
Key Impact:
• Founded and scaled CDN (Community of Developers Network) to 5,000+ members.
• Mentored 500+ students and developers through workshops, hackathons, and technical sessions.
• Organized and coordinated 20+ technology events, bootcamps, and community initiatives.
• Developed 30+ projects across AI, cloud computing, and full-stack development.
• Promoted open-source learning, collaboration, and community-driven innovation.
Supporting Links:
• GitHub: https://github.com/alokkumarsgl
• LinkedIn: https://www.linkedin.com/in/alokkumarsgl
• Portfolio: https://alok-kumar-portfolio.vercel.app/
https://www.commudle.com/communities/cdn-commudle-developer-network
As a PyTorch Foundation Ambassador, I aim to leverage my community-building experience to expand PyTorch adoption, organize educational programs, support new contributors, and strengthen the global open-source AI ecosystem.
</t>
  </si>
  <si>
    <t xml:space="preserve">I want to become a PyTorch Foundation Ambassador to contribute to the growth of the PyTorch ecosystem, support developers and learners, promote open-source AI innovation, and help build an inclusive community through mentorship, workshops, and knowledge sharing.
</t>
  </si>
  <si>
    <t xml:space="preserve">As a PyTorch Foundation Ambassador, I would leverage my experience as the organizer of CDN (Community of Developers Network) with 5,000+ members, along with my background in AI, Machine Learning, and community leadership, to expand the reach and impact of PyTorch globally.
I plan to organize workshops, webinars, hackathons, and hands-on training sessions focused on PyTorch and open-source AI development. Through mentorship programs, I will support students, researchers, and developers in learning PyTorch, contributing to open-source projects, and building real-world AI solutions.
I will actively create educational content, tutorials, technical blogs, and community resources to make PyTorch more accessible to beginners and advanced practitioners. Additionally, I will advocate for PyTorch within universities, developer communities, and AI ecosystems, encouraging collaboration and knowledge sharing.
By connecting local and global AI communities, mentoring new contributors, and promoting open-source innovation, I aim to help grow the PyTorch ecosystem and empower the next generation of AI developers and researchers.
</t>
  </si>
  <si>
    <t xml:space="preserve">- [x] Community Building
- [x] Technical Education
- [ ] Open Source Contributions
- [ ] Research &amp; Academia
- [x] Developer Advocacy
- [ ] Mentorship
- [x] Events &amp; Workshops
- [ ] Content Creation
- [x] Regional Community Growth
- [ ] Other
</t>
  </si>
  <si>
    <t xml:space="preserve">- [ ] Open source contributions
- [ ] Technical content creation
- [ ] Community leadership
- [ ] Events or workshops
- [ ] Research or academic work
- [ ] Mentorship
- [x] University or student outreach
- [ ] Translation or localization efforts
- [ ] Other
</t>
  </si>
  <si>
    <t xml:space="preserve">New to pytorch community 
</t>
  </si>
  <si>
    <t xml:space="preserve">This nominee has demonstrated substantial, verifiable engagement with PyTorch Foundation projects through a PyTorch Day China 2025 speaking role, 8 merged technical contributions to vLLM, and extensive Hugging Face ecosystem work bridging APAC frontier labs (Qwen, DeepSeek, Kimi) with the global PyTorch community via zh-ai-community and platform tooling. </t>
  </si>
  <si>
    <t xml:space="preserve">I am interested in becoming pytorch foundation to provide my fellow with industry level knowledge 
</t>
  </si>
  <si>
    <t>Beyond my technical work, I am deeply committed to building opportunities for students and early-career developers to learn, collaborate, and contribute to the open-source ecosystem. Through the communities and events I have led, I have helped connect aspiring developers with mentors, industry experts, and hands-on learning experiences.
My interests span Artificial Intelligence, Machine Learning, Deep Learning, Cloud Computing, and Open-Source Software. I actively encourage students to move beyond theory by building real-world projects, participating in hackathons, and contributing to community-driven initiatives.
Notable Highlights:
• organizer and scaled CDN (Community of Developers Network) to over 5,000 members.
• Led large-scale hackathons, bootcamps, and developer engagement programs.
• Collaborated with academic institutions, industry professionals, and technology communities to promote innovation and technical learning.
• Regularly mentor students on project development, career growth, and emerging technologies.
• Advocate for open-source culture, knowledge sharing, and inclusive community participation.
As a PyTorch Foundation Ambassador, I would bring my experience in community building, technical mentorship, and educational outreach to help expand PyTorch's reach, foster contributor growth, and strengthen AI communities across regions that have traditionally had limited access to open-source AI resources.</t>
  </si>
  <si>
    <t xml:space="preserve">I will help ai community at Sukkur iba by providing industry knowledge mentorship
</t>
  </si>
  <si>
    <t xml:space="preserve">- [x] Community Building
- [ ] Technical Education
- [ ] Open Source Contributions
- [x] Research &amp; Academia
- [ ] Developer Advocacy
- [ ] Mentorship
- [ ] Events &amp; Workshops
- [ ] Content Creation
- [x] Regional Community Growth
- [ ] Other
</t>
  </si>
  <si>
    <t>Impressive community scale and mentoring reach with a credible events/content plan; prior PyTorch-specific work is not detailed enough for a top recommendation.</t>
  </si>
  <si>
    <t>arubamukhtar-maker</t>
  </si>
  <si>
    <t xml:space="preserve">Aruba Mukhtar
</t>
  </si>
  <si>
    <t xml:space="preserve">Sahiwal, Punjab, Pakistan
</t>
  </si>
  <si>
    <t>tpx818</t>
  </si>
  <si>
    <t xml:space="preserve">https://github.com/arubamukhtar-maker
</t>
  </si>
  <si>
    <t xml:space="preserve">PeiXiang Tan
</t>
  </si>
  <si>
    <t xml:space="preserve">www.linkedin.com/in/aruba-mukhtar-3199953b2
</t>
  </si>
  <si>
    <t xml:space="preserve">- [x] PyTorch
- [ ] vLLM
- [ ] DeepSpeed
- [ ] Ray
- [ ] Helion
- [x] Safetensors
- [ ] Other
</t>
  </si>
  <si>
    <t xml:space="preserve">- [ ] Open source contributions
- [x] Technical content creation
- [x] Community leadership
- [ ] Events or workshops
- [ ] Research or academic work
- [x] Mentorship
- [x] University or student outreach
- [ ] Translation or localization efforts
- [ ] Other
</t>
  </si>
  <si>
    <t xml:space="preserve">https://github.com/tpx818
</t>
  </si>
  <si>
    <t xml:space="preserve">As an active student leadership enthusiast and academic mentor, my primary contribution to the community lies in technical mentorship, education, and student outreach. I have spent over a year working directly as a tutor for high school chemistry students, where I mastered the skills of breaking down complex concepts, creating structured learning resources, and driving student engagement. 
While my campus currently lacks an active open-source AI developer community, my goal as a PyTorch Ambassador is to lead the first official student initiative here. I plan to use my mentorship background to organize introductory workshops on deep learning frameworks, guide students on utilizing PyTorch for academic and research projects, and create beginner-friendly tutorials. 
Supporting Links:
- GitHub: https://github.com/arubamukhtar-maker
- LinkedIn: https://www.linkedin.com/in/aruba-mukhtar-3199953b2
</t>
  </si>
  <si>
    <t xml:space="preserve">My motivation stems from a strong desire to bridge the gap between complex technology and students in underrepresented regions who are eager to learn but lack proper guidance. Coming from a non-engineering academic background, I know firsthand how intimidating deep learning and open-source frameworks can feel initially. I want to become a PyTorch Ambassador to break down these barriers on my campus, demystify AI development, and show fellow students that anyone with analytical thinking can leverage PyTorch to solve real-world problems. Being part of this global network will give me the tools and backing to build a diverse, inclusive community from the ground up.
</t>
  </si>
  <si>
    <t xml:space="preserve">I plan to utilize my tutoring background and leadership focus to contribute in three distinct ways:
1. Educational Outreach: I will initiate beginner-friendly study groups and foundational workshops on my campus to introduce students to PyTorch basics, tensor operations, and neural network concepts. 
2. Peer Mentorship: Leveraging my experience in tutoring, I will guide students on how to utilize PyTorch for their academic research, final year projects, and data analysis needs.
3. Awareness Campaigns: I will promote PyTorch resources, tutorials, and community events locally to encourage more women and non-traditional tech students to step into the AI ecosystem.
</t>
  </si>
  <si>
    <t xml:space="preserve">- [x] Community Building
- [x] Technical Education
- [ ] Open Source Contributions
- [x] Research &amp; Academia
- [ ] Developer Advocacy
- [x] Mentorship
- [x] Events &amp; Workshops
- [x] Content Creation
- [x] Regional Community Growth
- [ ] Other
</t>
  </si>
  <si>
    <t>To provide a bit more context about my region, our campus currently lacks an active open-source AI community or dedicated developer groups. However, there is an immense amount of interest and eagerness among the students to learn cutting-edge technologies. 
As a student leader, my main goal is to bridge this gap. By becoming a PyTorch Ambassador, I want to establish the foundation for our campus's first AI student circle, making advanced deep learning resources accessible to passionate students who are ready to build but just need the right direction.</t>
  </si>
  <si>
    <t>Shows genuine technical competence with one merged SGLang PR and uses PyTorch in their own research, but their community involvement is very recent (less than one year) with no track record of mentoring, organizing, or advocacy work that would demonstrate Ambassador readiness.</t>
  </si>
  <si>
    <t xml:space="preserve">- [x] PyTorch
- [x] vLLM
- [x] DeepSpeed
- [ ] Ray
- [ ] Helion
- [ ] Safetensors
- [x] Other
</t>
  </si>
  <si>
    <t xml:space="preserve">verl/ms-swift
</t>
  </si>
  <si>
    <t xml:space="preserve">- [x] Open source contributions
- [x] Technical content creation
- [ ] Community leadership
- [x] Events or workshops
- [ ] Research or academic work
- [ ] Mentorship
- [ ] University or student outreach
- [ ] Translation or localization efforts
- [ ] Other
</t>
  </si>
  <si>
    <t xml:space="preserve"> Open Source Contributions
- Core contributor to ms-swift: Involved in feature development and optimization for a wide range of AI hardware accelerators.
- Core contributor to verl: Contributed multiple RL training optimizations and acceleration features, implemented MoE routing replay, and added Ascend hardware support.
 Event Organization
Successfully hosted two AI‑focused Meetups (one in Shenzhen, one in Chengdu), covering topics such as ms‑swift training, verl RL, and PyTorch inference optimization.
&lt;img width="830" height="554" alt="Image" src="https://github.com/user-attachments/assets/1ae5ac49-c302-4586-acd6-0cd82936566e" /&gt;
&lt;img width="830" height="554" alt="Image" src="https://github.com/user-attachments/assets/66bc05bb-b7fd-4c22-b80f-be8916bb69a4" /&gt;
Frequently invited as a guest speaker at tech forums and sharing events to promote PyTorch best practices in the LLM training ecosystem.
&lt;img width="1080" height="720" alt="Image" src="https://github.com/user-attachments/assets/450f2741-1108-4d6f-ab3a-7e72b6d8ca53" /&gt;
</t>
  </si>
  <si>
    <t>Compelling inclusion goal and tutoring experience, but there is no demonstrated PyTorch engagement or AI community impact yet; the proposal is an early-stage plan.</t>
  </si>
  <si>
    <t xml:space="preserve">With hands‑on experience as a core contributor to both ms‑swift and verl, and a track record of organizing community events, I want to help developers navigate **the entire PyTorch AI stack** — training, fine‑tuning, RL, and inference. As a PyTorch Ambassador, I plan to create educational content, mentor new contributors, and grow a vibrant community around PyTorch‑powered AI technologies.
</t>
  </si>
  <si>
    <t xml:space="preserve">Continue hosting **one AI‑related Meetup per quarter**, covering the full PyTorch‑based AI stack — from large‑scale model training and reinforcement learning to inference optimization and deployment. The goal is to bring together communities and industry partners to advance the open‑source ecosystem. The next event is already in the works.
</t>
  </si>
  <si>
    <t>They explicitly states being new to the PyTorch community with no verifiable contributions, community engagement, or technical communication demonstrated in the application.</t>
  </si>
  <si>
    <t>DeepLumiere</t>
  </si>
  <si>
    <t xml:space="preserve">Deep Joshi
</t>
  </si>
  <si>
    <t xml:space="preserve">Gujarat, India
</t>
  </si>
  <si>
    <t xml:space="preserve">https://github.com/DeepLumiere
</t>
  </si>
  <si>
    <t xml:space="preserve">https://www.linkedin.com/in/deep-lumiere
</t>
  </si>
  <si>
    <t>DEVAKSHSHANKAR</t>
  </si>
  <si>
    <t xml:space="preserve">Captum
</t>
  </si>
  <si>
    <t xml:space="preserve">Devaksh Shankar S H
</t>
  </si>
  <si>
    <t xml:space="preserve">- [x] Open source contributions
- [ ] Technical content creation
- [x] Community leadership
- [x] Events or workshops
- [x] Research or academic work
- [ ] Mentorship
- [x] University or student outreach
- [ ] Translation or localization efforts
- [ ] Other
</t>
  </si>
  <si>
    <t xml:space="preserve">INDIA
</t>
  </si>
  <si>
    <t xml:space="preserve">I serve as the Technical Head for my college’s IEEE Computer Society chapter, where I have facilitated engagements with industry leaders, including Naren Kachroo, GTM AI at Google Cloud India. My technical contributions include the development of [Github: Agent Triage](https://github.com/IEEE-Computer-Nirma/AgentTriage), an agentic AI project utilizing Google ADK for research-driven agent support. I integrate PyTorch into my daily workflow within my computer vision lab, leveraging its native TPU integration to enhance project efficiency.
Regarding my research and community outreach, I co-authored the paper FedQFraud, accepted at MobiHoc '25 [Link](https://dl.acm.org/doi/10.1145/3704413.3765511). Furthermore, I have organized two technical workshops at my institution and currently serve as a student member of the EvalEval Coalition under the guidance of Leshem Choshen. As a leader in the IEEE CS chapter, I mentor peers and support technical development in the community.
</t>
  </si>
  <si>
    <t xml:space="preserve">https://github.com/DEVAKSHSHANKAR
</t>
  </si>
  <si>
    <t xml:space="preserve">I am motivated to become a PyTorch Foundation Ambassador because PyTorch has been integral to my projects, research, and technical development. Having benefited significantly from the ecosystem, I feel a strong commitment to contribute back to the community that enabled my growth. I am eager to leverage this role to foster deeper engagement, support fellow developers, and help expand the reach of the PyTorch Foundation.
</t>
  </si>
  <si>
    <t xml:space="preserve">I intend to focus my efforts on community outreach through the organization of events and technical advocacy on behalf of the PyTorch Foundation. Furthermore, I am prepared to contribute across all necessary areas, as I am fully committed to undertaking any responsibilities that foster the growth and well-being of the PyTorch community.
</t>
  </si>
  <si>
    <t xml:space="preserve">- [x] Community Building
- [x] Technical Education
- [ ] Open Source Contributions
- [x] Research &amp; Academia
- [x] Developer Advocacy
- [ ] Mentorship
- [x] Events &amp; Workshops
- [ ] Content Creation
- [x] Regional Community Growth
- [ ] Other
</t>
  </si>
  <si>
    <t xml:space="preserve">https://www.linkedin.com/in/devaksh-shankar-s-h
</t>
  </si>
  <si>
    <t xml:space="preserve">- [ ] Open source contributions
- [ ] Technical content creation
- [x] Community leadership
- [ ] Events or workshops
- [ ] Research or academic work
- [x] Mentorship
- [x] University or student outreach
- [ ] Translation or localization efforts
- [ ] Other
</t>
  </si>
  <si>
    <t>jjzhang</t>
  </si>
  <si>
    <t>While I am currently at the beginning of my journey in formal open-source contribution, I am deeply committed to the PyTorch ecosystem and am actively preparing to scale my involvement. My focus for the upcoming year is centered on [e.g., technical education and local community growth].
Current Efforts &amp; Immediate Plans:
Active Learning &amp; Engagement: I am currently deepening my technical expertise in [e.g., vLLM or PyTorch internals] and am actively participating in [mention any Discord, Slack, or forum communities you are in].
Planned Technical Contributions: My immediate goal is to contribute to [mention a specific repo, e.g., PyTorch core or an ecosystem project] by focusing on [e.g., documentation improvements or beginner-friendly issues].
Community Advocacy: I am planning to organize [e.g., a workshop or study group] at my institution, [S.A. ENGINEERING], to help fellow students transition from theoretical ML knowledge to practical PyTorch development.
My Vision:
I am eager to bridge the gap for new learners in India by creating accessible, localized content and fostering a supportive environment for students who are intimidated by the complexity of deep learning. I aim to grow my reach by [e.g., hosting monthly peer-led tutorials] and sharing my findings through [e.g., blog posts or GitHub tutorials].
Supporting Links:
[My</t>
  </si>
  <si>
    <t xml:space="preserve">Jiaju Zhang
</t>
  </si>
  <si>
    <t>I recently worked on CipherQuest under IEEE TechExplorers Challenge where we created gamification of encryption methodologies, I've youtube video for the same: [Video](https://www.youtube.com/watch?v=E7E8p2Gmwts).</t>
  </si>
  <si>
    <t xml:space="preserve">My motivation to become a PyTorch Foundation Ambassador is rooted in the intersection of Deep Learning and Cybersecurity. I am fascinated by the potential of PyTorch to revolutionize security operations—specifically in areas like automated threat detection, anomaly detection in network traffic, and intelligent vulnerability scanning.
I want to become an Ambassador because I believe there is a significant opportunity to bridge the gap between AI researchers and security practitioners. By representing the PyTorch Foundation, I aim to:
Promote AI-driven Security: Advocate for the use of robust, open-source AI frameworks to build more resilient defensive security tools.
Democratize Knowledge: Lower the barrier to entry for security professionals who want to leverage PyTorch for advanced threat analysis but may find the learning curve steep.
Foster Community: Build a bridge between the PyTorch community and the cybersecurity field, encouraging collaborative, open-source projects that address modern digital threats.
Ultimately, I want to be an Ambassador to not only grow as an expert in the PyTorch ecosystem but to actively contribute to a future where high-performance, open-source AI is the standard for securing our digital infrastructure.
</t>
  </si>
  <si>
    <t xml:space="preserve">Beijing
</t>
  </si>
  <si>
    <t>Senior applied-AI experience and mentoring support a credible education program, though concrete PyTorch Foundation contributions and measurable community outcomes are limited.</t>
  </si>
  <si>
    <t xml:space="preserve">As an Ambassador, I will leverage my focus on Cybersecurity and ML to drive adoption and bridge the knowledge gap through three core pillars:
Technical Advocacy &amp; Content Creation: I will develop a series of accessible, 'Security-First' PyTorch tutorials. These will focus on practical use cases, such as 'Using PyTorch for Network Anomaly Detection' and 'Building Lightweight Vulnerability Scanners,' designed to show security professionals that AI is a tool they can master.
Community Engagement &amp; Education: I will organize hands-on workshops and study sessions at my university and within local cybersecurity meetups. My goal is to lower the barrier to entry for students and practitioners who are interested in AI but intimidated by the technical depth, providing them with a structured path to build secure, intelligent systems.
Bridge Building: I will act as a conduit between the PyTorch ecosystem and the security research community. By fostering a collaborative space—such as a dedicated discussion group or project repo—I aim to encourage the development of open-source, PyTorch-based tools that tackle real-world digital threats.
My impact will be measured by the number of security-focused workshops hosted, the quality of beginner-friendly learning materials I publish, and the growth of an active, cross-disciplinary community that views PyTorch as a primary tool for modern security defense.
</t>
  </si>
  <si>
    <t xml:space="preserve">https://github.com/jjzhang
</t>
  </si>
  <si>
    <t>"Beyond my core focus on the PyTorch Ambassador Program, I am building a portfolio that demonstrates the practical application of Deep Learning in security.
Continuous Learning: I am consistently active in following PyTorch release notes, attending relevant community webinars, and participating in technical forums to keep my skills sharp and aligned with the latest framework capabilities.
Goal Alignment: My primary objective is to cultivate a 'Security-AI' niche within the PyTorch community, ensuring that practitioners have the resources they need to adopt these tools effectively. I am committed to being a reliable, proactive representative of the Foundation in India."</t>
  </si>
  <si>
    <t xml:space="preserve">https://linkedin.com/in/jiaju-zhang-06868314
</t>
  </si>
  <si>
    <t xml:space="preserve">https://x.com/zhangjiaju
</t>
  </si>
  <si>
    <t xml:space="preserve">WeChat ID: Ailfryd
</t>
  </si>
  <si>
    <t>TiejunChina</t>
  </si>
  <si>
    <t xml:space="preserve">Tiejun Chen
</t>
  </si>
  <si>
    <t xml:space="preserve">- [x] Open source contributions
- [ ] Technical content creation
- [ ] Community leadership
- [x] Events or workshops
- [ ] Research or academic work
- [ ] Mentorship
- [ ] University or student outreach
- [ ] Translation or localization efforts
- [ ] Other
</t>
  </si>
  <si>
    <t>This nominee is explicitly at the beginning of their PyTorch journey with no verifiable contributions, no PyTorch-related repositories, and an application consisting almost entirely of future plans.</t>
  </si>
  <si>
    <t xml:space="preserve">Beijing, China
</t>
  </si>
  <si>
    <t xml:space="preserve">The nominee organized several vLLM community events as below:
1) vLLM/PyTorch Meetups: vLLM Beijing meetups - 4 times, vLLM Shanghai Meetup - once, vLLM Hong Kong Meetup - once, vLLM Hangzhou Meetup - once, PyTorch Meetup Singapore (co-organized) - once.
Among all the meetups, like the vLLM Beijing Meetup on Nov. 1, 2025, is the biggest vLLM Meetup in the world, which has 350+ people joined offline and over 41000 people joined online.
2) vLLM Office Hours (Chinese Version) - have hosted 8 serious of vLLM Office Hours in Chinese.
3) Attend different events to promote vLLM community - The nominee is a well-known KOL in China and has been invited and promoting vLLM in these events many many times.
Jiaju has organized many events - these are just a few pictures FYI:
&lt;img width="1000" height="1968" alt="Image" src="https://github.com/user-attachments/assets/cd072ed6-2fb5-4cd2-9432-b32b5ed1bb74" /&gt;
&lt;img width="1706" height="1279" alt="Image" src="https://github.com/user-attachments/assets/d3cfc62e-7037-48fb-acc2-67caa3a698ae" /&gt;
&lt;img width="1440" height="961" alt="Image" src="https://github.com/user-attachments/assets/8623eb7f-d8b5-4f60-bea0-3238dc6ccbf4" /&gt;
&lt;img width="1440" height="960" alt="Image" src="https://github.com/user-attachments/assets/daf7160f-19c7-4d36-b504-a2d207c46879" /&gt;
&lt;img width="1706" height="1279" alt="Image" src="https://github.com/user-attachments/assets/5b19c894-6e16-43eb-a798-889d3d8e27ee" /&gt;
&lt;img width="1440" height="810" alt="Image" src="https://github.com/user-attachments/assets/5ecd5c2c-fd96-420a-a05d-5ea0ad09e27b" /&gt;
&lt;img width="1440" height="959" alt="Image" src="https://github.com/user-attachments/assets/b0d2cab2-d894-41dc-ac4d-34c15e6bc4d6" /&gt;
&lt;img width="1440" height="960" alt="Image" src="https://github.com/user-attachments/assets/b7dc3b7c-2a53-42b4-9f84-083330819d16" /&gt;
&lt;img width="1600" height="970" alt="Image" src="https://github.com/user-attachments/assets/db719c28-4b63-40fd-a62c-85b95f14c64e" /&gt;
&lt;img width="1600" height="1066" alt="Image" src="https://github.com/user-attachments/assets/d26f8c1a-8a06-4784-baa4-64b2b166608a" /&gt;
&lt;img width="1621" height="1080" alt="Image" src="https://github.com/user-attachments/assets/c2026269-1573-4076-bd20-5845d935f033" /&gt;
&lt;img width="1621" height="1080" alt="Image" src="https://github.com/user-attachments/assets/52c7519a-4cd2-4d37-90e6-b6bbbabb72d6" /&gt;
</t>
  </si>
  <si>
    <t xml:space="preserve">The nominee loves community - if becoming PyTorch Foundation Ambassador, the nominee will have more time to do this work and get support from PyTorch Foundation, which is important. The nominee has great passion in these and the Ambassador role can better describe what he is doing and do good to the community.
</t>
  </si>
  <si>
    <t xml:space="preserve">https://www.linkedin.com/in/tiejun-chen-41a6654b/
</t>
  </si>
  <si>
    <t xml:space="preserve">As a PyTorch Ambassador, the nominee can organized more community events, such as the regular vLLM meetups every quarter, vLLM Office Hours every month, and continue supporting different events which needs PyTorch or vLLM to present. By this way, fostering the vLLM community in the region and attract more developers and users to join the community and mentor them.
The nominee is also working with some partners to cook training materials for freshman easily go into the community, achieve more educational outreach.
The nominee is not only an event organizer but also a technical export in this area, he is the Chief Architect of AI COE in Red Hat, which has deep knowledge in AI, so in this vLLM Offce Hours (Chinese Version), he is a resident guest speaker providing general technical update on vLLM with another guest speaker focused on a specific technical topic. So this nominee as a individual technical expert and can provide technical insights. In the future he can be with the PyTorch Foundation Ambassador title to speak at different community events, industrial forums, which definitely do good to the community. 
</t>
  </si>
  <si>
    <t xml:space="preserve">https://x.com/chen_tiejun
</t>
  </si>
  <si>
    <t xml:space="preserve">- [x] Community Building
- [ ] Technical Education
- [x] Open Source Contributions
- [ ] Research &amp; Academia
- [x] Developer Advocacy
- [ ] Mentorship
- [x] Events &amp; Workshops
- [ ] Content Creation
- [x] Regional Community Growth
- [ ] Other
</t>
  </si>
  <si>
    <t xml:space="preserve">- [x] PyTorch
- [x] vLLM
- [ ] DeepSpeed
- [x] Ray
- [ ] Helion
- [ ] Safetensors
- [x] Other
</t>
  </si>
  <si>
    <t xml:space="preserve">Monarch
</t>
  </si>
  <si>
    <t xml:space="preserve">- [x] Open source contributions
- [x] Technical content creation
- [x] Community leadership
- [x] Events or workshops
- [ ] Research or academic work
- [ ] Mentorship
- [ ] University or student outreach
- [ ] Translation or localization efforts
- [ ] Other
</t>
  </si>
  <si>
    <t xml:space="preserve">Tiejun Chen has been actively contributing to the open-source AI ecosystem through work focused on enabling PyTorch-related infrastructure and distributed AI frameworks on emerging RISC-V platforms. His efforts help expand the accessibility and portability of modern AI systems beyond traditional proprietary architectures.
Recently, he has been involved in bringing distributed AI frameworks such as Ray to RISC-V platforms and exploring enablement of PyTorch ecosystem technologies, including Monarch, on open hardware systems. These efforts include addressing architecture compatibility, runtime integration, heterogeneous computing support, and ecosystem collaboration around scalable AI infrastructure.
In addition to technical enablement work, Tiejun actively participates in community discussions related to RISC-V support for PyTorch and distributed AI systems, helping promote open collaboration between hardware and software communities. His work advocates for a more open, interoperable, and scalable AI ecosystem aligned with the broader goals of the PyTorch Foundation.
There are some references here - 
* PyTorch Conference 2025 - Accelerate Pytorch with Transparent backend graph compliers, Oct 23, 2025
* RISC-V Summit NA 2025 - unlock ML/AI potential on RISC-V with Ray, Oct 22, 2025
* AI Con + RISC-V Day Hong Kong 2025 - Empower AI on RISC-V with Ray, Aug 23, 2025
* the 5th RISC-V Summit China - 'Enable RISC-V Accelerated Ray for AI Workloads', Jul 18, 2025
* KubeCon + CloudNativeCon China 2025 - Dynamic GPU Fraction and Sharing with cloud native principles, CNCF · Jun 10, 2025
* 2024 RISC-V Hong Kong Day - Empower ML on RISC-V by Transparent Backend Acceleration with Graph Compliers, Linux Foundation · Aug 24, 2024
* KubeCon + CloudNativeCon + Open Source Summit + AI_dev China 2024 - Empower WebAssembly and Container on RISC-V, Linux Foundation · Aug 20, 2024
* KubeCon + CloudNativeCon + Open Source Summit + AI_dev China 2024 - Running Native WebAssembly AI Applications Everywhere, Linux Foundation · Aug 20, 2024
* Open Source Summit North America 2024 - Empower WebAssembly ML Over Diverse AI Hardware Accelerators Outside the Browser, Linux Foundation · Apr 18, 2024
* Container Plumbing Days 2024 - Accelerate WebAssembly AI with Backend Graph Compliers on a Wide Variety of AI HW Accelerators, Linux Foundation · Apr 15, 2024
* AI.Dev NA 2023: GPU.x - Dynamical GPU Fraction and Sharing on ML Mainstream Framework, AI.Dev 2023 - Linux Foundation · Dec 13, 2023
* RISC-V Summit NA 2023 - Empower ML upstream frameworks by backend graph complier, RISC-V Summit NA 2023 · Nov 7, 2023
* KubeCon China 2023 - Boost ML on Heterogeneous AI Accelerator With Ray on Kubernetes, KubeCon + CloudNativeCon + Open Source Summit China 2023 · Sep 27, 2023
* RAY Forward 2023 - 在Ray上无缝使能异构AI加速器, Ray China community · Jul 2, 2023
* GOTC 2023 - AI is everywhere, Global Open-source Technology Conference 2023 · May 28, 2023
* TVMCon2023 - Empower Tensorflow Serving with backend TVM, TVMCon'23 · Mar 16, 2023
* RISC-V Summit 2022 - Empower upstream ML frameworks on RISC-V, Dec 14, 2022
* KubeEdge Summit 2022 - Empower Heterogeneous Edge AI Acceleration with K8s, Jul 15, 2022
* Kubernetes on Edge Day Europe 2022 - Empower Heterogeneous Edge AI Acceleration with K8s, CNCF · May 17, 2022
* Transparent TVM Backend Acceleration - Apache TVM and Machine Learning Acceleration Conference 2021, Apache TVM and Machine Learning Acceleration Conference 2021 · Dec 17, 2021
* KubeCon + CloudNativeCon + Open Source Summit China 2021 - Run wasm applications on kubernetes edge cluster, KubeCon + CloudNativeCon + Open Source Summit China 2021 · Dec 10, 2021
* 2nd China Cloud Infrastructure Developer Conference 2021 - Attach AI Accelerators Anywhere, Oct 23, 2021
* ELEXCON 2019, AIoT - AI + IoT · Dec 19, 2019
* RISC-V Summit 2019 - A common open automotive platform with RISC-V, Dec 11, 2019
* LF Edge Summit (Host + Presentation)  - Open Source Summit Europe + ELC Europe 2019
* Integrate ROS into EdgeX - startover of edge computing system - Open Source Summit Europe + ELC Europe 2019, Open Source Summit Europe + ELC Europe 2019 · Oct 30, 2019
* Linux-based IIoT Framework, Open Source Summit Japan &amp; Automotive Grade Linux Summit Japan 2019 · Jul 19, 2019
* Edge Computing in IoT - Open Source Summit China 2019, Open Source Summit China 2019 · Jun 25, 2019
* Open Source Leadership Summit 2019 - Enable Linux in Industrial IoT System, Open Source Leadership Summit 2019, Linux Foundation · Mar 14, 2019
</t>
  </si>
  <si>
    <t xml:space="preserve">Tiejun wants to become a PyTorch Foundation Ambassador to help strengthen collaboration between the PyTorch ecosystem and emerging open hardware communities such as RISC-V. He believes the future of AI infrastructure will increasingly depend on open, scalable, and heterogeneous computing platforms, and that PyTorch plays a central role in enabling that future.
As an Ambassador, he hopes to help grow awareness of PyTorch across new hardware ecosystems, encourage more community contributions around architecture portability and distributed AI infrastructure, and foster deeper collaboration between researchers, developers, and open-source contributors.
He is also passionate about helping developers understand how open-source AI frameworks and open hardware can work together to accelerate innovation, reduce ecosystem fragmentation, and expand access to scalable AI technologies globally.
</t>
  </si>
  <si>
    <t xml:space="preserve">As a PyTorch Foundation Ambassador, Tiejun would contribute by advocating for broader adoption of PyTorch across emerging computing architectures and by helping connect communities working on distributed AI, open hardware, and scalable AI infrastructure.
He plans to contribute through technical talks, conference presentations, community discussions, and open-source collaboration focused on topics such as:
* enabling PyTorch ecosystem projects on RISC-V,
* distributed AI infrastructure,
* heterogeneous computing,
* scalable AI systems,
* and open AI infrastructure.
He also hopes to share practical engineering experiences and lessons learned from bringing modern AI frameworks to new architectures, helping developers and organizations better understand portability challenges and opportunities within the PyTorch ecosystem.
Additionally, he aims to encourage greater collaboration between the PyTorch Foundation, open hardware communities, and AI infrastructure developers to help build a more open and interoperable AI ecosystem for the future. Especially, he is also a RISC-V International Ambassador and Linux Foundation APAC Open source evangelists, so it is very helpful to put all efforts together to promote and accelerate the adoption of all PyTorch projects.
</t>
  </si>
  <si>
    <t>Distinctive and sustained advocacy connecting PyTorch/Ray with RISC-V, backed by many technical talks and a high-value open-hardware plan.</t>
  </si>
  <si>
    <t>aaishwarymishra</t>
  </si>
  <si>
    <t xml:space="preserve">Aaishwarya Mishra
</t>
  </si>
  <si>
    <t>This candidate demonstrates strong open-source engineering skills through Google Summer of Code 2026 with Apache Beam and a Kubernetes Release Team role, and brings valuable regional perspective from Pakistan; however, the application contains no evidence of prior engagement with PyTorch Foundation projects or communities.</t>
  </si>
  <si>
    <t xml:space="preserve">Jabalpur, India
</t>
  </si>
  <si>
    <t xml:space="preserve">https://github.com/aaishwarymishra
</t>
  </si>
  <si>
    <t>kuyesu</t>
  </si>
  <si>
    <t xml:space="preserve">www.linkedin.com/in/aaishwaryamishra
</t>
  </si>
  <si>
    <t xml:space="preserve">Rogers Kuyeso
</t>
  </si>
  <si>
    <t xml:space="preserve">Mbarara, Uganda
</t>
  </si>
  <si>
    <t xml:space="preserve">https://github.com/kuyesu
</t>
  </si>
  <si>
    <t xml:space="preserve">pytorch ignite
</t>
  </si>
  <si>
    <t xml:space="preserve">- [x] Open source contributions
- [ ] Technical content creation
- [ ] Community leadership
- [ ] Events or workshops
- [ ] Research or academic work
- [ ] Mentorship
- [ ] University or student outreach
- [ ] Translation or localization efforts
- [ ] Other
</t>
  </si>
  <si>
    <t xml:space="preserve">https://www.linkedin.com/in/kuyeso-rogers-040ab3198/
</t>
  </si>
  <si>
    <t>luis00404</t>
  </si>
  <si>
    <t xml:space="preserve">Luis
</t>
  </si>
  <si>
    <t xml:space="preserve">I am  an active contributor to **pytorch/ignite** since early 2026 and currently have **write access** to the core repository as a trusted collaborator and triage member. Beyond submitting code, I help manage the issue tracker, review incoming pull requests, and guide newer contributors .
Most of my recent contributions shipped in  **v0.5.4 release**. `EarlyStopping` handler I added a `min_delta_mode` parameter ([[#3516](https://github.com/pytorch/ignite/pull/3516)](https://github.com/pytorch/ignite/pull/3516)) and a `mode` parameter ([[#3520](https://github.com/pytorch/ignite/pull/3520)](https://github.com/pytorch/ignite/pull/3520)) that let users configure whether improvement is measured in absolute or relative terms, and whether lower or higher scores are better. I also implemented the **Matthews Correlation Coefficient (MCC) metric** ([[#3537](https://github.com/pytorch/ignite/pull/3537)](https://github.com/pytorch/ignite/pull/3537)).
Alongside the feature work, I led a significant chunk of the codebase's migration to **Python 3.10+ type hint syntax** — modernizing `engine.py` ([[#3509](https://github.com/pytorch/ignite/pull/3509)](https://github.com/pytorch/ignite/pull/3509)), `events.py` ([[#3510](https://github.com/pytorch/ignite/pull/3510)](https://github.com/pytorch/ignite/pull/3510)), and several utility modules ([[#3529](https://github.com/pytorch/ignite/pull/3529)](https://github.com/pytorch/ignite/pull/3529), [[#3534](https://github.com/pytorch/ignite/pull/3534)](https://github.com/pytorch/ignite/pull/3534)) .
I am currently interning at **Quansight Labs**, where I am  building **trainite** an open-source, cookiecutter-style training toolkit for transformer-based and alternative language models, built on top of PyTorch and PyTorch Ignite. The project is designed so researchers can plug in custom models, datasets, and YAML configs without touching the training loop boilerplate. Mentor of project is **Victor Fomin**, one of Ignite's core maintainers. Trainite is essentially a production-grade application of Ignite's engine and event system for LLM training workflows.
</t>
  </si>
  <si>
    <t xml:space="preserve">https://github.com/luis00404
</t>
  </si>
  <si>
    <t xml:space="preserve">- [x] Open source contributions
- [ ] Technical content creation
- [ ] Community leadership
- [x] Events or workshops
- [x] Research or academic work
- [ ] Mentorship
- [x] University or student outreach
- [ ] Translation or localization efforts
- [ ] Other
</t>
  </si>
  <si>
    <t xml:space="preserve">I got into PyTorch the way most people do I was using it for my own projects and wanted to understand what was happening under the hood. Before that the only training loop abstraction I did really used was HuggingFace's Trainer, and Ignite's engine based approach was unique that got me interested.
In Quansight I am surrounded by people who were active contributors to Python and open source as a whole, sharing what they were learning, working remotely but still being connected. I like being in open source community like Quansight.
Most people I know  including students at my own college are aware of open source but aren't part of any community. They know what ChatGPT or Claude is, but have no idea what a transformer is, what PyTorch does, or that they could contribute to the tools they're already using. There's a real gap between awareness and participation, especially in India.
I love open source and machine learning and want to support and help it grow :)
</t>
  </si>
  <si>
    <t xml:space="preserve">I always attend PyTorch events and I created content on how to use pytorch
</t>
  </si>
  <si>
    <t xml:space="preserve">https://www.linkedin.com/in/luis-07s
</t>
  </si>
  <si>
    <t xml:space="preserve">I plan to host a series of in-person workshops in India, to introduce them to open source and professional use of PyTorch. I want to encourage people and teach them how the llms they use daily actually work and how can they make a one from scratch. I also want to promote wider PyTorch ecosystem like ignite and vLLM. 
I also want to help students get started with open source, I think getting started is the hardest part I want to make it little bit easier for them if I can by introducing to open source community or mentoring them if I can.
I want to build a local PyTorch community in my city, where students can connect and work together.
Well I am not a researcher but being an Ambassador will allow me to connect with experts and researchers, exposing young students with the academia.
</t>
  </si>
  <si>
    <t xml:space="preserve">https://x.com/luis00404
</t>
  </si>
  <si>
    <t xml:space="preserve">I am deeply motivated by the power of community. As a former Zindi Africa 
Ambassador and Country Winner of UmojaHack Africa, I have successfully 
organized, mentored, and led machine learning training sessions that 
significantly spiked student and developer engagement with ML t
echnologies at Mbarara University. I want to channel this exact energy
 into the PyTorch ecosystem. By organizing local hackathons, workshops, 
and open-source contributions, I aim to foster a vibrant, inclusive network 
of PyTorch developers in East Africa, ensuring our regional talent is 
actively participating in global AI innovation.
</t>
  </si>
  <si>
    <t xml:space="preserve">- [x] Community Building
- [x] Technical Education
- [x] Open Source Contributions
- [ ] Research &amp; Academia
- [ ] Developer Advocacy
- [ ] Mentorship
- [ ] Events &amp; Workshops
- [ ] Content Creation
- [x] Regional Community Growth
- [ ] Other
</t>
  </si>
  <si>
    <t xml:space="preserve">By organizing local hackathons, workshops, open-source contributions, and educational outreach
</t>
  </si>
  <si>
    <t xml:space="preserve">- [x] Community Building
- [x] Technical Education
- [x] Open Source Contributions
- [x] Research &amp; Academia
- [x] Developer Advocacy
- [ ] Mentorship
- [x] Events &amp; Workshops
- [x] Content Creation
- [x] Regional Community Growth
- [ ] Other
</t>
  </si>
  <si>
    <t xml:space="preserve">- [ ] Open source contributions
- [ ] Technical content creation
- [x] Community leadership
- [x] Events or workshops
- [ ] Research or academic work
- [ ] Mentorship
- [x] University or student outreach
- [x] Translation or localization efforts
- [ ] Other
</t>
  </si>
  <si>
    <t xml:space="preserve">Uganda
</t>
  </si>
  <si>
    <t>Hi , I am Aaishwarya Mishra a final year cs undergrad from Jabalpur, India.
I love open source, python and machine leraning.
I have been using PyTorch for more than a year, it's my default choice for any machine learning task.
I currently am member of the PyTorch-ignite and I write, review, verifying issue and helping community. 
I got interested in how PyTorch does backpropogation , I made my small machine learning library to explore it [tinkerbell](https://github.com/aaishwarymishra/tinkerbell). I am still like in my early career I don't have any research paper yet but I plan to do so in future. I have implemented some papers like Attention is all you need and original VIT. 
I have also fine-tuned a Qwen-3.6 0.6 billion parameter non instruct model for chain on thoughts for the grade level math problems. Using hugging face and unsloth.
I am currently interning at Quansight Labs, I am working on a `trainite` a cookiecutter style llm training framework built using PyTorch and ignite, me and my mentor for the project Victor Fomin who is maintainer of PyTorch-ignite also have some cool use cases or examples set for the project like trying to find limitations of transformer with a simple task of string reversal etc.
While I may not have the years of academic or industry experience that Masters or PhD candidates possess, what I have genuine desire to give back to the community. I want to join the ambassador program to learn from others while also trying to help others :)</t>
  </si>
  <si>
    <t xml:space="preserve">Not
</t>
  </si>
  <si>
    <t xml:space="preserve">I want to become a PyTorch Foundation Ambassador because I am passionate about technology, community building, and helping people learn and adopt innovative tools. With my experience in community management and engagement, I want to support the growth of the PyTorch ecosystem by connecting users, sharing knowledge, promoting community initiatives, and helping more developers and learners discover the value of PyTorch and open-source AI development.
</t>
  </si>
  <si>
    <t xml:space="preserve">As a PyTorch Foundation Ambassador, I would contribute by helping grow and engage the community, sharing educational content, supporting newcomers, and promoting PyTorch initiatives through online communities and social platforms. I would also help organize discussions, share resources, collect community feedback, and encourage more developers, students, and AI enthusiasts to learn and participate in the PyTorch ecosystem. My goal would be to increase awareness, accessibility, and community engagement around PyTorch and open-source AI development.
</t>
  </si>
  <si>
    <t>My enthusiasm for coding, problem-solving, and desire to learn make me an ideal software engineer. Throughout my academic journey, I have developed a strong foundation in software engineering, with proficiency in programming and building AI applications.
I have developed exciting projects like Notefill an app to help students study smarter, not harder and, Self Help Mental Health App, impacting positively thousands of lives, which demonstrate my ability to transform ideas into functional solutions. I also possess excellent critical thinking, communication, and teamwork skills, which have been refined through various group projects and hackathons like African Snake Antivenom Binding Challenge (ADVANCED) Inter-universities Machine Learning Hackathon, and emerged country winner.
In addition to my technical expertise, I possess exceptional problem-framing and ideation skills. I have worked with diverse teams, including the Summer School at Mila - Quebec AI Institute - Canada, Canada Africa Innovation Fellowship - EWB Canada team as a fellow, and 2 years later became the program coordinator which gave birth to successful innovations, and I also implemented the Mbarara University Data Science Research Hub data platform as a Software Engineer Intern at CAMTech Uganda.
Excited to see some of my work:
NoteFill: https://notefill.app/
iOS App: https://apps.apple.com/us/app/notefill-notes-quiz-flashcard/id6754992269
android App: https://play.google.com/store/apps/details?id=com.kuyeso.notefill
Self Help Mental Health App: https://globalmha.com/
iOS App: https://apps.apple.com/us/app/self-help-mental-wellness-app/id6748447292
MUDSReH Data Portal: http://data-kc.vercel.app/
country winner UmojaHack Africa 2022: African Snake Antivenom Binding Challenge (ADVANCED) Inter-universities Machine Learning Hackathon: Link https://zindi.africa/competitions/umojahack-africa-2022-advanced-challenge/leaderboard/teams/zima</t>
  </si>
  <si>
    <t xml:space="preserve">- [x] Community Building
- [ ] Technical Education
- [ ] Open Source Contributions
- [ ] Research &amp; Academia
- [ ] Developer Advocacy
- [ ] Mentorship
- [ ] Events &amp; Workshops
- [x] Content Creation
- [x] Regional Community Growth
- [ ] Other
</t>
  </si>
  <si>
    <t>This application is critically incomplete with the main contributions field blank (just "Not") and zero PyTorch activity visible on the accessible GitHub profile.</t>
  </si>
  <si>
    <t>Strong general African ML leadership and product experience, but the application offers scant PyTorch-specific evidence and an underdeveloped ambassador plan.</t>
  </si>
  <si>
    <t>RSN601KRI</t>
  </si>
  <si>
    <t xml:space="preserve">Roshni Kumari
</t>
  </si>
  <si>
    <t xml:space="preserve">Greater Noida
</t>
  </si>
  <si>
    <t xml:space="preserve">https://github.com/RSN601KRI
</t>
  </si>
  <si>
    <t xml:space="preserve">https://gitlab.com/roshni06k2004
</t>
  </si>
  <si>
    <t xml:space="preserve">https://www.linkedin.com/in/roshnikumari1
</t>
  </si>
  <si>
    <t xml:space="preserve">https://x.com/rsnkyx
</t>
  </si>
  <si>
    <t xml:space="preserve">- [x] PyTorch
- [x] vLLM
- [ ] DeepSpeed
- [x] Ray
- [x] Helion
- [ ] Safetensors
- [ ] Other
</t>
  </si>
  <si>
    <t xml:space="preserve">## Academic &amp; Technical Achievements
As an AWS AI/ML Scholar 2024, Roshni Kumari has collaborated extensively with mentors and researchers from Singapore, the USA, and the UK to enhance her knowledge and skills in scalable systems, machine learning, and AI. While working as an Accenture AWS Scholar Intern, she applied AI to data to create new analytics solutions and optimized AI models through the use of cloud GPU infrastructure, honed her production-focused machine learning skills. She has always been on top in the competitive innovation ecosystems and has won 1st place at PAN India Hackathon 2024 and at Dexterix Hackathon for developing a Smart Gas Leakage Detection system. Her projects and solutions have also won the prestigious awards in Google Build with India 2025, GFG Adobe GenAI Hackathon, Snowflake GenAI Challenge, Asian School of Business Innovation Programs, and a few international coding and AI competitions. Her AI initiative “Budgetlyzer” was among the top 10 solutions in the Payman AI Hackathon 2025, demonstrating her extensive dedication to meaningful, practical AI solutions.
## Community &amp; Leadership
Roshni is also passionate about building communities and making learning about AI accessible to everyone. She was an AWS Cloud Captain 2025 and provided leadership and mentorship to a technical community of 50+ individuals, conducting workshops and hands-on sessions on cloud computing, AI/ML tools, and developer technologies. She also created and developed a community of 60+ learners via technical articles, podcasts, newsletters, and educational sessions on platforms such as YouTube, Medium, and Substack. She has developed projects and launched them on Peerlist and Product Hunt, with a total of 11K+ impressions and developer engagement, proving her both technically strong and community impactful.
## Scholarships &amp; Recognition
Roshni's accomplishments are characterized by a long and illustrious career in AI and open-source communities, marked by excellence, leadership, and innovation. She was awarded the AWS AI/ML Nanodegree Scholarship from among 15,000+ applicants, and was selected from 500 people around the world to attend the LiFT Scholarship 2025 by The Linux Foundation, which provides advanced exposure to AI/ML and open-source technologies. She has also been named to the 2025 Top 50 Global Hackers list by MLH, for her innovations, open-source contributions, and community-driven impact, an accolade given to builders who build not just projects, but impactful movements in the technology ecosystem.
## Social Links &amp; Contributions 
I’ve contributed to open-source, research projects and community-driven initiatives, including:
https://top.mlh.com/2025/profiles/roshni-kumari
https://www.geeksforgeeks.org/system-design/complete-tutorial-on-hyperloglog-in-redis/
https://medium.com/storx-network/xdcbot-powering-ai-trading-for-rwa-tokens-with-storxs-decentralized-edge-21160f670415
https://medium.com/@roshni_k06/from-niche-experiment-to-mainstream-on-ramp-your-phone-is-the-wallet-solana-3ca2c6485d77
https://medium.com/@roshni_k06/the-solana-toolbox-how-dev-tools-are-fueling-the-ecosystems-hypergrowth-and-what-s-next-fbfd73b1651c
https://www.geeksforgeeks.org/system-design/complete-tutorial-on-hyperloglog-in-redis/
https://medium.com/@roshni_k06/from-niche-experiment-to-mainstream-on-ramp-your-phone-is-the-wallet-solana-3ca2c6485d77
https://oktadocs.vercel.app/
https://rsnkrzx.substack.com/p/paper2code-turning-machine-learning
AWS Data &amp; Cloud Certification: https://credly.com/go/4EQEVy75, https://credly.com/go/HtgRG1n7
AI Programming with Python: https://www.udacity.com/certificate/e/a49cad9c-2dce-11ef-bb94-6734c61c7b15
Machine Learning: https://www.linkedin.com/posts/roshnikumari1_machine-learningml-activity-7195082096946659328-jf9J?utm_source=share&amp;utm_medium=member_desktop&amp;rcm=ACoAAD2q3HQBOr_xod9RxrrQEc5TmW2iDNpwlLU
Some of the Projects are:
Energy Sense: https://energy-sense.streamlit.app/
LLM Chatbot: https://llm-chat-appn.streamlit.app/
Agent Forge: https://agentforge-eta.vercel.app/
Gromo Coach AI: https://gromo-ai-assist-connect.vercel.app/
XDC Bot: https://xdc-bot.vercel.app/
Solar Marketplace: https://solana-depin.vercel.app/
AI Hiring Platform: https://kosu-xi.vercel.app/
AI-powered budgeting tool: https://budgetlyzer.vercel.app/
Open Source Contributions soo far: 
https://github.com/CodeBooter/CodeBooter-Main/pull/12
https://github.com/CyberCellGu/CyberCell/pull/29
https://github.com/nugen-in/nugen-cookbook/pull/22, https://github.com/nugen-in/nugen-cookbook/pull/35, https://github.com/nugen-in/nugen-cookbook/pull/19
https://github.com/google-gemini/gemini-cli/issues/21604, https://github.com/google-gemini/gemini-cli/issues/23410, https://github.com/google-gemini/gemini-cli/pull/23432
https://github.com/OWASP/Nettacker/pull/1421, https://github.com/OWASP/Nettacker/issues/1394 
## Some the Meetup, Webinars, Conferences and Workshop Links: 
https://www.meetup.com/aws-cloud-club-at-galgotias-university/events/?notificationId=%3Cinbox%3E%21412194313-1766317035883&amp;eventOrigin=notifications
https://youtu.be/p2EGJI-PMAs?si=cophZQt4HYWq9l8e
https://youtu.be/TxtfEczUHl4?si=OvOQKUUp4VGFOQVF
https://www.linkedin.com/posts/roshnikumari1_research-resumebuilding-professionalgrowth-activity-7258479003756331009-SN7j?utm_source=share&amp;utm_medium=member_android
https://www.linkedin.com/posts/surajsingh-rajpurohit-546335286_firstwebinar-publicspeaking-personalbranding-ugcPost-7231221792751722496-DOhy?utm_source=share&amp;utm_medium=member_android
https://www.linkedin.com/posts/roshnikumari1_opensource-community-learning-activity-7219200681809694722-zfPm?utm_source=share&amp;utm_medium=member_android
https://www.linkedin.com/posts/roshnikumari1_not-every-milestone-comes-with-a-medal-some-activity-7432783151447441409-kIF1?utm_source=share&amp;utm_medium=member_desktop&amp;rcm=ACoAAD2q3HQBOr_xod9RxrrQEc5TmW2iDNpwlLU
https://www.linkedin.com/posts/roshnikumari1_if-youd-told-me-a-few-years-ago-that-my-activity-7401292740812165120-r4-L?utm_source=share&amp;utm_medium=member_desktop&amp;rcm=ACoAAD2q3HQBOr_xod9RxrrQEc5TmW2iDNpwlLU
https://www.linkedin.com/posts/roshnikumari1_world-bank-group-youth-summit25-activity-7336271671202353152-_JZZ?utm_source=share&amp;utm_medium=member_desktop&amp;rcm=ACoAAD2q3HQBOr_xod9RxrrQEc5TmW2iDNpwlLU
</t>
  </si>
  <si>
    <t>Flink-ddd</t>
  </si>
  <si>
    <t xml:space="preserve">I think the open-source AI community is a huge enabler for the spread of cutting-edge AI knowledge, tools, and opportunities, which is why I want to become a PyTorch Foundation Ambassador. PyTorch has been a significant player in my learning journey, allowing me to create deep learning models, explore scalable AI systems, and work on meaningful AI projects. Having spent years developing CNN-based models, contributing to AI research projects, and creating practical ML applications, I have firsthand knowledge of how PyTorch enables researchers and developers to innovate at a quicker pace and work on projects openly.
Along with technical development, community building and knowledge sharing is a strong motivator for me. I'm an AWS Cloud Captain, workshop organizer, and technical content creator, having mentored learners, hosted sessions, and made AI/ML concepts understandable to the growing developer community. I want to leverage the PyTorch Foundation Ambassador program as an opportunity to continue to support aspiring developers, particularly students and early career learners, to organize workshops, develop educational materials, contribute to open-source projects, and establish inclusive AI learning spaces.
I have a strong passion for integrating research, deployment, and learning by doing with community. I hope Ambassador can play a role in building up the PyTorch ecosystem by fostering collaboration, building awareness of responsible and scalable development in AI and helping more developers feel comfortable contributing to open source projects. I view this opportunity as not just a leadership position, but also a way to contribute to the community that has been a great influence in my development as an AI practitioner and builder.
</t>
  </si>
  <si>
    <t xml:space="preserve">Mu Xiaohui
</t>
  </si>
  <si>
    <t xml:space="preserve">I would spend my time as a PyTorch Foundation Ambassador on developing a community for AI that is engaging, creator-led and that helps to make PyTorch more accessible, useful and inspiring to developers and builders around the world. Aside from workshops and technical sessions, I hope to produce compelling educational materials like tutorials for beginner projects using AI, explanations of PyTorch models, hackathon guides, how-to contributions to open-source projects, and tutorials on implementing models in real-world applications via YouTube, newsletters, podcasts, and social media. My objective is to create a gap-less training-to-production process for students to learn and build pyTorch-based AI applications.
I also want to start new collaborative community efforts like “build-in-public” challenges, circles of contributors providing mentorship, onboarding sessions for beginners in open-source, and research showcases by students to build a larger audience in the PyTorch community. I would actively serve as a mentor for new contributors and advocate for representation in AI, and make welcoming communities for learners that feel safe to experiment, contribute and innovate using open-source AI technologies. I'm not just about making people aware of PyTorch, I'm about building a thriving creator and builder community to learn, collaborate, and make impactful AI solutions together.
</t>
  </si>
  <si>
    <t>gateremark</t>
  </si>
  <si>
    <t xml:space="preserve">https://github.com/Flink-ddd
</t>
  </si>
  <si>
    <t xml:space="preserve">Mark Gatere
</t>
  </si>
  <si>
    <t>This nominee brings valuable community leadership experience from underrepresented Nigeria and strong general technical communication skills, but demonstrates zero verifiable engagement with PyTorch Foundation projects despite claims of PyTorch usage. I recommend borderline consideration contingent on interview verification of PyTorch experience, as the application shows community potential but lacks the Foundation-specific engagement track record.</t>
  </si>
  <si>
    <t xml:space="preserve">https://www.linkedin.com/in/vensen/
</t>
  </si>
  <si>
    <t xml:space="preserve">https://github.com/gateremark
</t>
  </si>
  <si>
    <t xml:space="preserve">https://www.linkedin.com/in/gateremark/
</t>
  </si>
  <si>
    <t xml:space="preserve">https://x.com/gatere_mark
</t>
  </si>
  <si>
    <t xml:space="preserve">Hugging Face: https://huggingface.co/gateremark
</t>
  </si>
  <si>
    <t>Simacoder</t>
  </si>
  <si>
    <t xml:space="preserve">Simanga Comfort Mchunu
</t>
  </si>
  <si>
    <t xml:space="preserve">South Africa, Pretoria
</t>
  </si>
  <si>
    <t xml:space="preserve">https://github.com/Simacoder
</t>
  </si>
  <si>
    <t xml:space="preserve">I am a software engineer and ML builder based in Nairobi, Kenya, working on open-source AI infrastructure, developer education, and African language AI. My most direct contribution to a PyTorch Foundation project is to vLLM, where I contributed FunctionGemma tool parser support, including parser implementation, tests, documentation, and a chat template. The PR was merged into vLLM: _https://github.com/vllm-project/vllm/pull/31218_
Beyond that, I have been active in open source for several years, with 100+ public GitHub repositories and public contributions across AI and developer tooling projects. Through C-elo Labs, I am also building PyTorch-based AI models for low-resource African languages, starting with Kikuyu. This work includes public Hugging Face models and datasets such as Kikuyu TranslateGemma and Kikuyu TTS: _https://huggingface.co/gateremark_
On the community side, I organise and support technical sessions in Kenya around AI, open source, developer tools, and machine learning. Recent examples include hosting an OpenAI Codex Meetup with Emmanuel Lubanzadio, the OpenAI Africa Lead; helping organise .NET and Microsoft ADC developer sessions in Nairobi,  with some sessions **drawing 100+ attendees**: _https://www.linkedin.com/posts/gateremark_microsoftadc-dotnet-activity-7356672635713339392-dB29_; supporting Microsoft Student Ambassador activities, where I reached Gold level, the highest level in the program: _https://www.linkedin.com/feed/update/urn:li:activity:7361792643917328385/_; and participating in AI/community events with Zindi (won the AI4EAC Climate &amp; Health Risk Prediction hackathon: _https://www.linkedin.com/feed/update/urn:li:activity:7457270521056043008/_), IEEE (hosting sessions in AI and speakers in the machine learning field: _https://www.linkedin.com/posts/gateremark_ever-wondered-what-its-actually-like-to-share-7452397716338360320-CZE4/_ where we have over 50 attendees in the sessions: 
&lt;img width="1710" height="1112" alt="Image" src="https://github.com/user-attachments/assets/c0ef099f-2340-48d2-8083-74fd431a5f7e" /&gt;
 and many more. 
I also support student mentorship and outreach in marginalised regions in Kenya. Recently, I was part of a team that visited Samburu Girls Foundation, a rescue and education centre for girls affected by harmful cultural practices, for a mentorship outreach focused on exposing students to technology, AI, IoT, and future career paths: _https://www.linkedin.com/feed/update/urn:li:activity:7455286077289979905/_. This kind of work matters to me because the PyTorch community in Africa should not only grow in major tech hubs but also reach students and builders who rarely get access to these opportunities. 
I use my platforms on LinkedIn and X, where I reach developers, students, and AI builders across Africa, to share learning resources, technical progress, events, and open-source opportunities.
Supporting links:
- vLLM PR: https://github.com/vllm-project/vllm/pull/31218
- More vLLM contributions post: https://www.linkedin.com/posts/gateremark_vllm-opensource-ai-activity-7418641809708347392-Twb2
- Hugging Face: https://huggingface.co/gateremark
- Building C-elo Labs (AI for low-resource languages): https://c-elo.com
- OpenAI Codex Meetup with Emmanuel Lubanzadio: https://www.linkedin.com/posts/gateremark_we-had-a-super-awesome-openai-codex-meetup-activity-7462173763867131904-G0_t
- Samburu Girls Foundation outreach: https://www.linkedin.com/posts/gateremark_listening-to-the-stories-of-what-these-girls-ugcPost-7455286073812910080-Ej-f/
</t>
  </si>
  <si>
    <t xml:space="preserve">I want to become a PyTorch Foundation Ambassador because PyTorch is one of the tools that made serious AI building possible for me from Nairobi. I use the PyTorch ecosystem not just to learn but also to build real models, contribute to infrastructure like vLLM, and teach other developers what is possible when they understand the stack deeply.
A lot of African developers are interested in AI, but many are still blocked by lack of clear guidance, limited compute, and not knowing how to move from tutorials to real model training, evaluation, and deployment. I want to help bridge that gap by making PyTorch, vLLM, safetensors, and related tools more approachable through hands-on sessions, contributor onboarding, and practical examples from real projects.
For me, this is also about representation. I want more builders from Kenya and Africa to see themselves not only as users of AI tools but also as contributors to the open-source systems that power AI globally.
</t>
  </si>
  <si>
    <t xml:space="preserve">https://www.linkedin.com/in/simanga-mchunu-7570078a/
</t>
  </si>
  <si>
    <t xml:space="preserve">As a PyTorch Foundation Ambassador, I would focus on building a practical PyTorch and vLLM community in Kenya, with a wider reach across Africa.
My plan would be to host at least one technical session every month, in person in Nairobi (quarterly) and online technical sessions (bi-weekly). These sessions would be hands-on and focused on topics such as getting started with PyTorch, fine-tuning models, using safetensors, serving models with vLLM, understanding GPU memory, and contributing to PyTorch Foundation projects. I would also run contributor onboarding sessions where beginners learn how to set up a project locally, pick a first issue, write tests, improve documentation, and open a good pull request.
I would also create simple technical content from the sessions: short posts, walkthroughs, notebooks, and demos that developers can reuse after the event. My goal is to make the PyTorch ecosystem feel less distant for African students and developers and to help more people move from “I use AI tools” to “I can build and contribute to the systems behind them.”
</t>
  </si>
  <si>
    <t xml:space="preserve">- [ ] Open source contributions
- [x] Technical content creation
- [ ] Community leadership
- [x] Events or workshops
- [x] Research or academic work
- [x] Mentorship
- [x] University or student outreach
- [x] Translation or localization efforts
- [ ] Other
</t>
  </si>
  <si>
    <t>- Hugging Face models and datasets for low-resource African language AI: https://huggingface.co/gateremark
- Founder of C-elo Labs, building AI for African languages starting with Kikuyu: https://c-elo.com
- LinkedIn community reach: 25K+ followers
- X/Twitter community reach: 13K+ followers</t>
  </si>
  <si>
    <t xml:space="preserve">As an engineer specializing in AI Infrastructure and low-level optimization (CUDA/ROCm), I am dedicated to making deep technical contributions to PyTorch and its thriving ecosystem (vLLM, DeepSpeed, PyTorch). Building on these code-level contributions, I provide hardcore, source-code-level tutorials and career mentorship for the bilingual (English/Chinese) developer community. My core contributions span the following three dimensions:
1. Technical Contributions &amp; Open Source Leadership
PyTorch Core Involvement: I actively contribute to PyTorch's low-level memory management. For example, I initiated and led the RFC discussion on c10::cuda::CUDACachingAllocator (Issue #174227) to address the synchronization gap between external physical memory releases (via VMM) and PyTorch's internal accounting, a critical feature for memory monitoring in LLM inference. I am a consistent contributor to the PyTorch repository.
Leading Next-Gen RL Post-Training Infrastructure (RL-Align/RL-Kernel): As the founder and core maintainer of RL-Kernel, I initiated this project to address the extreme memory bottlenecks (the $O(G \cdot L \cdot V)$ explosion) and sequence-padding waste in DeepSeek-style Large-Scale RL (GRPO/RLHF). It is an out-of-the-box, hardware-agnostic (CUDA, AMD ROCm, and domestic silicon) micro-level operator library. Crucially, I am actively building an open-source collective around this project to drive impact across three core pillars:
- Empowering Researchers: Providing plug-and-play kernel dispatching so algorithm researchers can execute GRPO training natively without Out-Of-Memory crashes.
- Solving Industry Pain Points: Delivering enterprise-grade solutions for the severe train-inference numerical divergence between rollout engines like vLLM, SGLang and training engines like Megatron, FSDP, DeepSpeed.
- Incubating Kernel Developers: Sourcing real-world industrial needs and mentoring passionate developers in our Discord community to write custom fused operators (e.g., fused_logp), guiding them to become impactful AI Infra contributors.
Driving Top-Tier Ecosystems (vLLM, vLLM-omni &amp; DeepSpeed): I am a core contributor to vLLM, vLLM-omni, and DeepSpeed, focusing on LLM inference acceleration and distributed training. I spearheaded the development of the highly impactful Sleep Mode feature and its corresponding Ack Protocol (PR #2022) for vLLM-omni, and co-authored a deep-dive technical article on the official vLLM blog.
Low-Level Kernel Optimization: As a contributor to NVIDIA/cutlass, I continuously help build the foundational CUDA blocks that power the PyTorch acceleration stack.
2. Content Creation &amp; Technical Evangelism
Source-Code-Level Medium Publications: Under the pen name Vensen, I write high-quality English technical blogs deconstructing the source code of DeepSpeed ZeRO-1/2/3 and vLLM's Sleep Mode. These articles bridge the gap between academic papers and PyTorch/CUDA source code, helping global developers understand complex AI Infra systems.
Video Evangelism (Bilibili): I consistently publish AI Infra video content for the Chinese-speaking community. My video "Deconstructing the 6 Core Directions of AI Infra" has been highly praised for guiding beginners. I also create comprehensive, step-by-step video tutorials ("Building a vLLM dev environment from scratch on RunPod") to significantly lower the barrier to entry for the PyTorch ecosystem. also, Invited by NVIDIA engineers, I recorded a walkthrough video about the vLLM architecture. The video is nearly two hours long and has been viewed over 1600 times.
3. Community Mentorship &amp; Real-World Impact
Hands-On Developer Community: I run a dedicated developer mastermind group focused on AI Infra. Instead of just sharing knowledge, I emphasize practical conversion by designing specific learning tasks (source code compilation, environment setup, operator development) and providing 1-on-1 guidance.
Career Empowerment: Through my mentorship, community members have successfully transitioned into the field, landing core High-Performance Computing / AI Infra offers at top-tier tech companies like Tencent. This closed loop—from learning open-source PyTorch knowledge to securing top industry roles—is my proudest community achievement.
Measurable Impact
Community Growth: Built and manage a highly engaged AI Infra developer community of 200 active members, currently expanding into a second group due to high demand.
Community Reach: 4,300+ views on a single AI Infra foundational video on Bilibili, sparking dozens of high-quality technical discussions and guiding newcomers.
Knowledge Distribution: Consistent publication of deep-dive articles on Medium, precisely targeting professional developers focused on LLM optimization and PyTorch internals.
Mentorship Success: Directly mentored community members to secure core AI Infra roles at top-tier tech companies (e.g., Tencent), proving the real-world value of my educational initiatives.
&lt;img width="897" height="879" alt="Image" src="https://github.com/user-attachments/assets/80108b35-b299-49a8-b9ad-9d1c33643f4d" /&gt;
Ecosystem Code Impact: Dozens of merged Pull Requests across PyTorch, DeepSpeed, vLLM, and CUTLASS, driving the iteration of foundational infrastructure relied upon by hundreds of thousands of developers globally.
Supporting Links
GitHub Repositories &amp; Pull Requests
PyTorch RFC/Issue (Physical memory accounting for VMM): [Issue #174227](https://github.com/pytorch/pytorch/issues/174227)
PyTorch Code Contributions: [PyTorch PRs by Flink-ddd](https://github.com/pytorch/pytorch/pulls?q=is%3Apr+author%3AFlink-ddd+is%3Aclosed)
RL-Kernel Architecture &amp; Core Issues: [RL-Kernel Issues by Flink-ddd](https://github.com/RL-Align/RL-Kernel/issues?q=is%3Aissue%20state%3Aopen%20author%3AFlink-ddd)
RL-Align/RL-Kernel Founders and members: [RL-Kernel PRs by Flink-ddd](https://github.com/RL-Align/RL-Kernel/pulls?q=is%3Apr+author%3AFlink-ddd+is%3Aclosed)
DeepSpeed Code Contributions: [DeepSpeed PRs by Flink-ddd](https://github.com/deepspeedai/DeepSpeed/pulls?q=is%3Apr+author%3AFlink-ddd+is%3Aclosed)
vLLM Code Contributions: [vLLM PRs by Flink-ddd](https://github.com/vllm-project/vllm/pulls?q=is%3Apr+author%3AFlink-ddd+is%3Aclosed)
CUTLASS Code Contributions: [CUTLASS PRs by Flink-ddd](https://github.com/NVIDIA/cutlass/pulls/Flink-ddd)
Blogs &amp; Tutorials
Official vLLM Blog (Sleep Mode co-author: Vensen Mu): [vLLM Blog - Sleep Mode](https://vllm.ai/blog/2025-10-26-sleep-mode)
Medium Technical Column (Deconstructing DeepSpeed &amp; vLLM): [Medium @vensenmu](https://medium.com/@vensenmu)
Videos &amp; Live Streams
Bilibili Educational Video ("Deconstructing the 6 Core Directions of AI Infra"): https://b23.tv/WycFjVZ
&lt;img width="585" height="1266" alt="Image" src="https://github.com/user-attachments/assets/8f68ba67-5527-4353-b0ef-a40bfcaae485" /&gt;
&lt;img width="585" height="1266" alt="Image" src="https://github.com/user-attachments/assets/48fa2814-6274-46f7-ac2b-ac18d4335303" /&gt;
</t>
  </si>
  <si>
    <t xml:space="preserve">As an engineer spending my days hacking on PyTorch's CUDACachingAllocator, cutlass's cuteDSL and ROCm's  aiter and flyDSL and writing custom kernels for vLLM, I know exactly how intimidating the bottom layer of the AI stack can be. Most developers stop at calling torch.nn.Linear, completely terrified of C++, CUDA, and ROCm. When I transitioned into AI Infra, I hit that same wall.
I want to become an Ambassador because I love taking the pain out of that learning process. Running my AI Infra Collective online group, the most rewarding moment isn't just merging my own PRs, it’s watching a community member using that exact knowledge to land a core AI Infra offer at Tencent. We have also established a CUDA development group to combine CUDA, ROCm, Triton, and PyTorch native to develop a kernel integration platform. This will be released later and given back to the community.
I want to leverage the Foundation's platform to scale this impact. My motivation is to turn passionate PyTorch users into hardcore, confident system contributors who aren't afraid to dive deep into the source code.
</t>
  </si>
  <si>
    <t xml:space="preserve">My contributions to the PyTorch and open-source AI ecosystem center on community leadership, technical education, mentorship, research, and expanding access to machine learning opportunities, particularly for students and underrepresented communities across Africa.
As President of the HackerRank Club at the University of South Africa (UNISA), I built and led a growing technical community focused on programming, machine learning, artificial intelligence, data science, and software engineering. I organized approximately six technical events per month, including workshops, hackathons, datathons, technical talks, and hands-on AI learning sessions. These activities created pathways for students to develop practical skills and engage with modern AI technologies, including PyTorch-based deep learning workflows.
As a Zindi Ambassador, I organized and facilitated Study Jams and educational programs focused on machine learning, deep learning, and artificial intelligence. Through these initiatives, I introduced participants to neural networks, model development, data-centric AI, and Large Language Models (LLMs), helping learners gain practical experience with technologies widely used throughout the PyTorch ecosystem.
A major focus of my work has been democratizing AI education through accessible, hands-on learning opportunities. I developed and delivered workshops on building Large Language Models from scratch, sharing presentation materials, source code, and reproducible Google Colab notebooks so that participants could continue learning independently. These workshops covered model architecture, training pipelines, evaluation, and deployment concepts, helping students bridge the gap between theory and real-world implementation.
Beyond workshops, I have mentored more than 1,000 students, developers, and aspiring AI practitioners through tutoring programs, hackathons, datathons, technical communities, and one-on-one mentorship. My goal has been to help learners build confidence in machine learning, contribute to open-source projects, and pursue careers in AI and data science.
I have also contributed to AI research through the publication of an abstract paper examining the algorithmic and mathematical efficiency of Automatic Speech Recognition (ASR) systems for low-resource African languages. This research addresses challenges in multilingual AI and contributes to broader efforts to improve speech technologies for underrepresented linguistic communities.
In addition, I have served as a technical judge, evaluator, and mentor for numerous local and international hackathons and datathons, including IBM Z Datathon initiatives and competitions involving participants from multiple countries, including India. These experiences allowed me to guide teams on machine learning implementation, model evaluation, and responsible AI practices while supporting the growth of emerging AI talent.
I have also designed and launched original datathon and hackathon challenges that encourage participants to solve real-world problems using machine learning, deep learning, and data science techniques. These initiatives have strengthened community engagement and provided valuable practical learning experiences for participants.
As an active competitor, I have won multiple hackathons and datathons focused on artificial intelligence, machine learning, and data science. These achievements reflect my ability to develop innovative solutions while applying state-of-the-art AI methodologies in competitive environments.
**Measurable Impact**
* Organized approximately 6 technical events per month through the HackerRank Club at UNISA.
* Delivered multiple AI, machine learning, deep learning, and LLM-focused workshops and Study Jams.
* Mentored and trained more than 1,000 students and emerging AI practitioners.
* Served as a technical judge and mentor for local and international hackathons and datathons.
* Designed and launched multiple hackathon and datathon challenges.
* Published research on ASR efficiency for low-resource African languages.
* Created and shared open educational resources, including presentations, source code, and interactive notebooks.
* Won multiple hackathons and datathons in AI, machine learning, and data science.
**Supporting Links**
Community Leadership
* HackerRank Club UNISA: https://hackerrankclubunisa.netlify.app/#
Research
* ASR Research Publication: https://sciforum.net/paper/view/31494
Technical Workshop Resources
* Presentation Slides: https://docs.google.com/presentation/d/1CCJaQ2SeDMZ3J_WKC1Y1clCIh6PqTvg5/edit
* Source Code (app.py): https://drive.google.com/file/d/1FViNiJKUTmBa9pHtUU5GFxXRlyz67nZV/view
* Google Colab Notebook: https://drive.google.com/file/d/1f8VGRQ1sA-DPHqCHdeopnJ3A4dpJqrQi/view
Technical Talk / Workshop Recording
* YouTube Session: https://www.youtube.com/watch?v=zj2mp7J-kZM
* 
*Zindi Profile: [Zindi Profile – Simanga Mchunu](https://zindi.africa/users/Simanga?utm_source=chatgpt.com)
Through sustained leadership, mentorship, AI education, research, and community-building initiatives, I have worked to expand access to machine learning knowledge, strengthen participation in open-source AI, and empower the next generation of AI practitioners across Africa and beyond.
</t>
  </si>
  <si>
    <t xml:space="preserve">If selected, my contributions won't just be about hosting general networking events. I will focus strictly on the hardcore engineering side of the PyTorch ecosystem, executing on three specific fronts:
1. Source-Code-Level Content Over High-Level Tutorials
The community has enough "How to train a basic model" tutorials. What’s missing is deep, accessible content on how PyTorch actually works under the hood. I will expand my Source-Code Deconstruction series on Medium and Bilibili. I will guide developers line-by-line through PyTorch internals, custom CUDA/Triton operator integration, and memory management, acting as a technical bridge for the English and Chinese-speaking communities.
2. Pushing PyTorch for the Extreme LLM Era
Because I actively build in the downstream LLM ecosystem (vLLM, DeepSpeed), I see exactly where PyTorch hits bottlenecks during massive distributed inference and training. I will actively drive technical discussions and upstream RFCs, like my current push to fix physical memory accounting for VMM (Issue #174227) to ensure PyTorch evolves perfectly alongside these critical acceleration frameworks.
3. Task-Driven Mentorship via the AI Infra Collective
Instead of passive lectures, I will scale my online developer community through action. I assign my members real-world, gritty engineering tasks: compiling PyTorch from source, tracing a memory leak, or writing a custom kernel. My concrete goal as an Ambassador is to mentor a new wave of developers to successfully merge their first PyTorch or vLLM Pull Request, and equip them with the actual combat skills needed to secure AI Infra jobs in the industry.
</t>
  </si>
  <si>
    <t xml:space="preserve">I want to become a PyTorch Foundation Ambassador because I believe that open-source AI education should be accessible to everyone, regardless of geography, background, or access to resources. Throughout my journey as a community leader, mentor, researcher, and educator, I have witnessed how access to practical machine learning and deep learning knowledge can transform careers and create opportunities for students and developers who might otherwise be excluded from the AI ecosystem.
As President of the HackerRank Club at the University of South Africa (UNISA) and a Zindi Ambassador, I have dedicated my time to building learning communities, organizing technical events, mentoring aspiring practitioners, and creating educational resources that help individuals gain hands-on experience in artificial intelligence. Through workshops, Study Jams, hackathons, datathons, and mentorship programs, I have supported more than 1,000 learners in developing technical skills and confidence in AI and machine learning.
Becoming a PyTorch Foundation Ambassador would allow me to expand this impact at a larger scale. PyTorch is one of the most influential frameworks in modern AI research and development, and I see a tremendous opportunity to increase awareness, adoption, and contribution to the PyTorch ecosystem, particularly across Africa and other underrepresented regions. I want to help bridge the gap between academic learning and real-world AI development by creating practical learning experiences, technical workshops, open-source projects, and community-driven initiatives centered around PyTorch.
I am especially passionate about empowering students, early-career developers, and researchers working on challenges relevant to their local communities, including natural language processing for African languages, speech technologies, responsible AI, and large language models. By promoting PyTorch-based tools, educational resources, and best practices, I hope to enable more individuals to participate in cutting-edge AI research and open-source development.
As a PyTorch Foundation Ambassador, I would continue organizing community events, technical workshops, hackathons, and mentorship programs while fostering collaboration between students, researchers, developers, and industry practitioners. I would also use my experience in community building and technical education to encourage new contributors to engage with PyTorch projects, share knowledge, and contribute back to the ecosystem.
Ultimately, my motivation is rooted in service, education, and community growth. I want to help cultivate a more inclusive and globally connected PyTorch community where learners and contributors from all backgrounds have the opportunity to build, innovate, and contribute to the future of open-source AI.
</t>
  </si>
  <si>
    <t xml:space="preserve">Singapore and Malaysia
</t>
  </si>
  <si>
    <t>satanisz</t>
  </si>
  <si>
    <t xml:space="preserve">As a PyTorch Foundation Ambassador, I would leverage my experience in community leadership, technical education, mentorship, research, and event organization to expand the reach and impact of the PyTorch ecosystem, particularly across Africa and other underrepresented communities.
One of my primary contributions would be organizing and scaling PyTorch-focused community events. Through my experience leading the HackerRank Club at the University of South Africa (UNISA) and serving as a Zindi Ambassador, I have successfully organized technical workshops, Study Jams, hackathons, datathons, coding challenges, and community learning programs. As an Ambassador, I would continue hosting both virtual and in-person events that introduce students, developers, researchers, and practitioners to PyTorch and its growing ecosystem.
I would also contribute through educational outreach and content creation. I have experience developing technical workshops, presentation materials, source code repositories, and interactive notebooks for topics such as deep learning, Large Language Models (LLMs), machine learning, and AI applications. As a PyTorch Foundation Ambassador, I would create additional learning resources, tutorials, technical talks, hands-on workshops, and beginner-friendly guides that help learners understand and effectively use PyTorch in research and real-world projects.
Mentorship would remain a central part of my contribution. Having mentored more than 1,000 students and aspiring AI practitioners, I would continue supporting new learners and contributors through mentorship programs, office hours, project guidance, study groups, and community discussions. I am particularly interested in helping students transition from learning machine learning concepts to building practical projects and contributing to open-source AI initiatives.
I would also advocate for greater participation in PyTorch within African AI communities. Many talented students and developers have limited access to mentorship, technical resources, and global open-source networks. By building partnerships with universities, student organizations, developer communities, and AI initiatives, I would help connect more individuals to PyTorch learning opportunities and encourage contributions from diverse backgrounds.
In addition, I would promote PyTorch through hackathons, datathons, and innovation challenges. Having designed and facilitated technical competitions and served as a mentor and judge for numerous events, I would create opportunities for participants to solve real-world problems using PyTorch-based solutions. These activities would encourage practical learning, collaboration, and innovation while introducing new users to the framework.
My research interests in low-resource African languages, speech technologies, natural language processing, and AI accessibility also position me to advocate for PyTorch applications that address locally relevant challenges. I would encourage the development of projects that leverage PyTorch to improve AI accessibility, multilingual technologies, and solutions that create positive impact within underserved communities.
Finally, I would actively promote collaboration between local communities and the broader global PyTorch ecosystem. By sharing community success stories, highlighting contributors, facilitating knowledge exchange, and encouraging participation in PyTorch Foundation initiatives, I would help strengthen connections between emerging AI communities and the wider open-source ecosystem.
Through community building, technical education, mentorship, content creation, research advocacy, and inclusive outreach, I would work to expand awareness, adoption, and contribution to PyTorch while helping develop the next generation of AI practitioners, researchers, and open-source contributors.
</t>
  </si>
  <si>
    <t xml:space="preserve">Przemysław Stanisz
</t>
  </si>
  <si>
    <t>Moving forward, my technical roadmap includes collaborating more closely with PyTorch core maintainers on the compiler ecosystem. Specifically, I plan to dedicate more time to tackling open issues and contributing optimizations for PyTorch Dynamo and Inductor. Given my background in low-level kernel optimization and inference acceleration, I believe driving improvements in the torch.compile backend is critical for the next generation of AI systems, and I am highly committed to contributing my engineering bandwidth to this specific area during my Ambassador term.</t>
  </si>
  <si>
    <t xml:space="preserve">Krakow, Poland
</t>
  </si>
  <si>
    <t xml:space="preserve">https://github.com/satanisz
</t>
  </si>
  <si>
    <t xml:space="preserve">South Africa
</t>
  </si>
  <si>
    <t xml:space="preserve">https://www.linkedin.com/in/pstanisz/
</t>
  </si>
  <si>
    <t>In addition to my community leadership, mentorship, and educational contributions, I have been recognized through several academic, technical, and competitive achievements that reflect my commitment to advancing artificial intelligence, machine learning, and technology education.
In 2026, I was selected among the **Top 20 South African Tertiary Olympiad Students**, a recognition that highlights academic excellence, analytical problem-solving abilities, and technical achievement at the national level. I was also recognized as one of the **Top 15 Young Geeks in South Africa – Class of 2026**, acknowledging my contributions to technology, innovation, community leadership, and the development of emerging talent within the South African technology ecosystem.
I am an active participant in the AI, machine learning, and data science competition community and have won multiple hackathons and datathons. These competitions have provided opportunities to develop practical solutions to real-world problems using machine learning, deep learning, natural language processing, and data analytics techniques. My participation has strengthened both my technical expertise and my ability to collaborate within multidisciplinary teams.
Beyond competition, I have designed and facilitated hackathon and datathon challenges, served as a technical judge and mentor, and supported participants throughout the project development lifecycle. These activities have helped cultivate innovation, problem-solving, and technical excellence among students and early-career practitioners.
My technical interests include:
* Deep Learning and PyTorch
* Large Language Models (LLMs)
* Natural Language Processing (NLP)
* Speech Technologies and Automatic Speech Recognition (ASR)
* AI for African Languages
* Machine Learning and Data Science
* Open-Source AI Education
* Responsible and Inclusive AI
I have also contributed to AI education by creating and sharing technical learning resources, including workshops, presentations, implementation code, and reproducible notebooks that help learners gain hands-on experience with machine learning and deep learning systems.
**Selected Supporting Resources**
Community Leadership
* HackerRank Club UNISA: https://hackerrankclubunisa.netlify.app/#
Research
* "Algorithm and Mathematical Efficiency of Automatic Speech Recognition for Low-Resource African Languages": https://sciforum.net/paper/view/31494
Technical Workshop Resources
* LLM Workshop Presentation Slides: https://docs.google.com/presentation/d/1CCJaQ2SeDMZ3J_WKC1Y1clCIh6PqTvg5/edit
* LLM Workshop Source Code: https://drive.google.com/file/d/1FViNiJKUTmBa9pHtUU5GFxXRlyz67nZV/view
* LLM Workshop Google Colab Notebook: https://drive.google.com/file/d/1f8VGRQ1sA-DPHqCHdeopnJ3A4dpJqrQi/view
Technical Talks and Videos
* Code clinic: How to solve Hackerrank problem: https://www.youtube.com/watch?v=1YjRljx9DFY
Community and Competition Participation
* Zindi Profile: https://zindi.africa/users/Simanga
Looking ahead, I remain committed to expanding access to AI education, supporting open-source communities, mentoring future contributors, and advancing the responsible use of PyTorch and machine learning technologies to address challenges relevant to Africa and the global community.</t>
  </si>
  <si>
    <t xml:space="preserve">- [ ] Open source contributions
- [ ] Technical content creation
- [ ] Community leadership
- [ ] Events or workshops
- [x] Research or academic work
- [x] Mentorship
- [x] University or student outreach
- [ ] Translation or localization efforts
- [ ] Other
</t>
  </si>
  <si>
    <t xml:space="preserve">My contributions to the PyTorch ecosystem span academic research, technical content creation, and extensive mentorship. As a Machine Learning Engineer, I bridge the gap between theoretical machine learning and practical, standard-compliant implementation, actively advocating for PyTorch as the primary framework in both academia and industry.
1. Mentorship &amp; Professional Leadership
I am deeply committed to guiding the next generation of AI researchers and engineers. In an academic context, I have served as a PhD advisor, providing strategic direction for advanced research initiatives utilizing PyTorch. In the industry, I actively supervise engineering internships. Recently, I led an internship program focused on implementing a Wasserstein GAN (WGAN) from scratch in PyTorch. Throughout this process, I emphasized not only the mathematical foundations but also the importance of using the latest Python syntax and rigorous software engineering standards to build scalable ML systems.
Measurable Impact: Directly mentored 1 PhD candidate and 1 industry interns, guiding them from theoretical concepts to robust PyTorch implementations.
2. University Outreach &amp; Technical Content Creation
I have developed and open-sourced comprehensive machine learning training materials used in an academic setting. My focus is on teaching students how to build robust ML solutions using PyTorch while adhering to the best industry practices.
Supporting Link: Machine Learning Lectures - AGH (https://machine-learning-lectures.github.io/agh-mat)
Measurable Impact: These materials have been utilized by approximately 80 students across 1 academic semesters, significantly lowering the barrier to entry for robust machine learning engineering.
3. Academic Research &amp; Technical Expertise
In my research and professional work—particularly within Reinforcement Learning and advanced generative modeling—PyTorch is my foundational tool. I actively publish research where PyTorch enables rapid prototyping and highly reproducible experiments.
Supporting Link: Google Scholar Profile (https://scholar.google.com/citations?hl=pl&amp;tzom=-120&amp;user=YS8pYPoAAAAJ)
Measurable Impact: I have authored/co-authored 5 research papers relying on PyTorch models, demonstrating the real-world utility and reach of PyTorch in the scientific community.
</t>
  </si>
  <si>
    <t xml:space="preserve">My career is rapidly accelerating towards solving complex, real-world business challenges using AI. While PyTorch used to be just a part of my toolkit, it has recently become my absolute primary framework for delivering production-ready solutions. Becoming a PyTorch Foundation Ambassador would provide me with the official mandate and platform to confidently advocate for its adoption in enterprise environments. I want to share my hands-on journey of transitioning to a full PyTorch stack and help other developers and businesses realize its potential in solving actual market problems.
</t>
  </si>
  <si>
    <t>This nominee demonstrates strong general ML/AI community leadership in South Africa through verified roles (HackerRank Club President, Zindi Ambassador) and educational content creation, with strategic value as an Africa-based candidate from an underrepresented region; however, the application shows very limited evidence of specific PyTorch Foundation project engagement or measurable impact within Foundation communities, and most quantitative claims (1,000+ mentored, 6 events/month, competition wins/judging roles) lack supporting verification.</t>
  </si>
  <si>
    <t>Exceptional technical, content, and mentorship record across PyTorch, vLLM, and DeepSpeed, with verified contributions and a highly specific contributor-development plan.</t>
  </si>
  <si>
    <t xml:space="preserve">As a PyTorch Foundation Ambassador, I would focus my efforts on three main pillars: building a strong local AI hub, bridging the gap between academia and industry, and technical advocacy.
1. Supporting and Building the Local AI Community (Krakow Hub)
I want to step outside my current workplace and university environments to build a dedicated PyTorch community here in Krakow. Leveraging my strong local network of developers and researchers, I plan to organize regular meetups and technical workshops. My goal is to create a collaborative space where practitioners can share real-world use cases, exchange knowledge about modern Python engineering standards, and solve complex ML problems together.
2. Educational Outreach and Mentorship
I have a strong track record of engaging in non-profit and academic initiatives, such as my past collaboration with the GEIST research group at Jagiellonian University. I would use this experience to mentor students and junior developers. By organizing hands-on sessions, I want to help them transition from theoretical concepts to applying PyTorch in practical, production-grade applications, particularly in areas like Reinforcement Learning.
3. Technical Advocacy and Content Creation
I am passionate about sharing knowledge. I intend to advocate for clean, modern coding practices within the PyTorch ecosystem. By publishing technical content, tutorials, and participating in local tech events, I want to demonstrate how to effectively leverage PyTorch to build scalable enterprise solutions
</t>
  </si>
  <si>
    <t xml:space="preserve">- [ ] Community Building
- [x] Technical Education
- [ ] Open Source Contributions
- [x] Research &amp; Academia
- [x] Developer Advocacy
- [ ] Mentorship
- [x] Events &amp; Workshops
- [ ] Content Creation
- [ ] Regional Community Growth
- [ ] Other
</t>
  </si>
  <si>
    <t xml:space="preserve">Polska
</t>
  </si>
  <si>
    <t>Competitive Problem Solving &amp; Hackathons
I constantly challenge myself to solve real-world problems under pressure. Out of four recent hackathons I participated in, my teams secured top positions in two: winning the Euroclear Hackathon and taking 3rd place at the Software Mansion AI Hackathon with our project, PrivyMeet. In all these rapid-prototyping environments, PyTorch is my absolute go-to framework for building reliable and scalable ML solutions.
Workshops, Mentorship &amp; Educational Outreach
I am deeply committed to sharing specialized knowledge and shaping the next generation of engineers. I have hands-on experience designing and conducting technical workshops focused on Reinforcement Learning, built entirely within the PyTorch ecosystem. Additionally, I actively mentor university students, guiding them through their projects to ensure they write clean, optimized code using the latest Python standards. This passion for education also drives my active participation in student-focused initiatives at HSBC, bridging the gap between academic theory and enterprise-level machine learning.
Core Philosophy
Whenever there is an opportunity to solve a complex business or technical challenge, applied machine learning is my primary approach. I want to bring this pragmatic, problem-solving mindset—coupled with a proven track record of running workshops and mentoring—to the PyTorch Ambassador program.</t>
  </si>
  <si>
    <t>wilsonwu</t>
  </si>
  <si>
    <t xml:space="preserve">Wilson Wu
</t>
  </si>
  <si>
    <t xml:space="preserve">Chengdu, China
</t>
  </si>
  <si>
    <t xml:space="preserve">https://github.com/wilsonwu
</t>
  </si>
  <si>
    <t xml:space="preserve">https://www.linkedin.com/in/iwilsonwu/
</t>
  </si>
  <si>
    <t xml:space="preserve">- [ ] PyTorch
- [x] vLLM
- [ ] DeepSpeed
- [ ] Ray
- [ ] Helion
- [ ] Safetensors
- [x] Other
</t>
  </si>
  <si>
    <t xml:space="preserve">istio, higress, contour, sglang
</t>
  </si>
  <si>
    <t xml:space="preserve">- [x] Open source contributions
- [x] Technical content creation
- [x] Community leadership
- [ ] Events or workshops
- [ ] Research or academic work
- [x] Mentorship
- [ ] University or student outreach
- [x] Translation or localization efforts
- [ ] Other
</t>
  </si>
  <si>
    <t xml:space="preserve">As an IT and software industry professional with nearly 20 years of experience, I have consistently kept pace with the evolving technology landscape spanning traditional software development, cloud-native technologies, and AI. I have led teams in front-line product research and development, integrating open-source community resources to create enterprise-grade solutions and products. In recent years, I have focused deeply on the convergence of cloud-native technologies and AI, contributing to numerous open-source community projects, including AI-centric initiatives such as vLLM, SGLang, and Higress. Furthermore, as a maintainer of the Istio project and a member of the Contour, Argo, and Kubernetes communities, I am deeply involved in the advancement of open-source software. I am also a Microsoft MVP and a recognized expert in the field of software development, providing guidance and engaging in knowledge exchange with peers across the industry.
My key open-source contributions are listed below:
https://github.com/vllm-project/vllm/pulls?q=is%3Apr+author%3Awilsonwu+is%3Aclosed
https://github.com/vllm-project/semantic-router/pulls?q=is%3Apr+author%3Awilsonwu+is%3Aclosed
https://github.com/sgl-project/sglang/pulls?q=is%3Apr+is%3Aclosed+author%3Awilsonwu
https://github.com/istio/istio.io/pulls?q=is%3Apr+is%3Aclosed+author%3Awilsonwu
https://github.com/higress-group/higress/pulls?q=is%3Apr+is%3Aclosed+author%3Awilsonwu
https://github.com/argoproj-labs/rollouts-plugin-trafficrouter-contour
For a comprehensive list of my contributions, please visit my GitHub profile: https://github.com/wilsonwu
For my blog posts and articles, please visit my blog homepage: https://wilsonwu.me/en/
</t>
  </si>
  <si>
    <t xml:space="preserve">I am motivated to become a PyTorch Foundation Ambassador because I see PyTorch not only as a leading deep learning framework, but as a critical bridge between cutting-edge AI research and real-world production systems. With nearly two decades of experience spanning traditional software engineering, cloud-native architectures, and AI systems, I have increasingly focused on enabling scalable, production-grade AI infrastructure—where PyTorch plays a central role.
Through my active contributions to projects such as vLLM, SGLang, and other AI inference and serving ecosystems, I have been working at the intersection of model efficiency, distributed systems, and developer experience. I believe that PyTorch’s ecosystem is uniquely positioned to accelerate innovation in these areas, particularly as the industry shifts toward large-scale model deployment, heterogeneous compute, and cloud-native AI platforms.
As an Ambassador, I aim to strengthen the connection between the PyTorch community and the cloud-native/open-source ecosystem. Specifically, I want to:
* Promote best practices for deploying and scaling PyTorch-based workloads in Kubernetes and service mesh environments.
* Contribute to bridging gaps between model development and production inference through integrations with emerging AI infrastructure projects.
* Share practical knowledge through blogs, talks, and community engagement, helping developers and organizations adopt PyTorch more effectively in real-world scenarios.
* Advocate for open collaboration across communities such as Istio, Argo, and AI serving frameworks, fostering a more cohesive and interoperable ecosystem.
I also see this role as an opportunity to give back to the open-source community that has shaped much of my career. By combining my experience as a maintainer, contributor, and industry practitioner, I hope to help grow the PyTorch ecosystem in a way that is both technically impactful and broadly accessible.
Ultimately, my goal is to help make PyTorch not just a powerful research tool, but a foundational platform for enterprise AI systems at scale.
</t>
  </si>
  <si>
    <t>ssam18</t>
  </si>
  <si>
    <t xml:space="preserve">Samaresh Kumar Singh
</t>
  </si>
  <si>
    <t xml:space="preserve">As a PyTorch Foundation Ambassador, I would contribute by bridging the gap between cutting-edge AI frameworks and production-grade, cloud-native infrastructure, enabling broader and more effective adoption of PyTorch in real-world systems.
First, I would actively contribute to the ecosystem through open-source collaboration. Building on my existing work with projects such as vLLM, SGLang, and AI gateway frameworks like Higress, I plan to further enhance PyTorch’s integration with high-performance inference engines, distributed serving architectures, and emerging AI routing paradigms. This includes improving scalability, observability, and efficiency of PyTorch-based workloads in large-scale environments.
Second, I would focus on enabling production readiness for PyTorch in cloud-native environments. Leveraging my deep involvement in Kubernetes, Istio, Argo, and related ecosystems, I would develop and share reference architectures, best practices, and tooling for deploying PyTorch workloads with capabilities such as dynamic scaling, GPU scheduling, traffic management, and multi-model orchestration. My goal is to make PyTorch a first-class citizen in modern platform engineering stacks.
Third, I would invest in community education and knowledge sharing. Through technical blogs, conference talks, workshops, and hands-on demos, I would help developers understand not only how to use PyTorch, but how to operationalize it effectively. This includes topics such as LLM inference optimization, model serving patterns, and AI gateway design. I would also actively engage with both the PyTorch and broader open-source communities to foster collaboration and cross-pollination of ideas.
Finally, I would act as a connector across ecosystems. Given my roles in multiple open-source communities, I am well-positioned to promote interoperability and collaboration between PyTorch and other critical projects in the AI and cloud-native landscape. By aligning efforts across communities, I aim to help build a more cohesive, scalable, and open AI infrastructure ecosystem.
Through these contributions, I would support the PyTorch Foundation’s mission by driving both technical innovation and community growth, ensuring that PyTorch continues to thrive as a leading platform for both research and production AI.
</t>
  </si>
  <si>
    <t xml:space="preserve">Austin, Texas, United States
</t>
  </si>
  <si>
    <t xml:space="preserve">- [x] Community Building
- [x] Technical Education
- [x] Open Source Contributions
- [ ] Research &amp; Academia
- [x] Developer Advocacy
- [x] Mentorship
- [x] Events &amp; Workshops
- [x] Content Creation
- [x] Regional Community Growth
- [x] Other
</t>
  </si>
  <si>
    <t xml:space="preserve">https://github.com/ssam18
</t>
  </si>
  <si>
    <t xml:space="preserve">https://www.linkedin.com/in/samaresh-singh-9772ba23/
</t>
  </si>
  <si>
    <t xml:space="preserve">Google Scholar: https://scholar.google.com/citations?hl=en&amp;user=3z9qzooAAAAJ arXiv: https://arxiv.org/pdf/2512.23809 GitHub secondary profile: https://github.com/SamareshSingh
 Which PyTorch Foundation-hosted projects or ecosystem projects is the nominee familiar with?
- [x] PyTorch
- [x] vLLM
- [ ] DeepSpeed
- [x] Ray
- [ ] Helion
- [x] Safetensors
- [x] Other
</t>
  </si>
  <si>
    <t xml:space="preserve">Keras, TensorFlow, OpenVINO, ONNX Runtime, TensorRT-LLM, llama.cpp, Ollama, OpenCV, MLCommons Inference, Cilium, Grafana
</t>
  </si>
  <si>
    <t>This nominee brings strong cloud-native infrastructure expertise and has demonstrated extensive open source contributions, particularly in documentation/translation (666 Istio.io PRs) and emerging engagement with the vLLM ecosystem (48 merged PRs). However, PyTorch Foundation-specific engagement is recent and limited in technical depth, with most contributions being documentation fixes rather than substantial features.</t>
  </si>
  <si>
    <t xml:space="preserve">I am a Principal Engineer at HP Inc. with more than 21 years of experience in AI/ML infrastructure, distributed systems, cybersecurity, Edge AI, cloud-edge platforms, and production software architecture. My current work focuses on enterprise AI, remote GPU workflows, Edge AI systems, entitlement infrastructure, Cache-as-a-Service, and reliable cloud-edge platforms.
Selected recognitions and memberships:
* IEEE Senior Member
* Google Developer Expert in AI
* NVIDIA Developer Champion
* Docker Captain
* Snort.org Major Contributor
* Active open-source contributor across AI, ML, cybersecurity, cloud-native, observability, and infrastructure projects
Selected open-source areas:
* AI and ML infrastructure: PyTorch, vLLM, Ray, Keras, TensorFlow, OpenVINO, ONNX Runtime, ONNX Script, NVIDIA TensorRT-LLM, MLCommons Inference, llama.cpp, Ollama, OpenCV, MLflow, SciPy, pandas
* Cybersecurity and networking: Snort3, Suricata, OpenSSL, Cilium, Falco, KubeEdge
* Cloud-native and developer infrastructure: Docker Compose, Grafana, gRPC, Cobra, nlohmann/json, spdlog, Beman Project
Selected IEEE research publications:
* https://ieeexplore.ieee.org/document/11542411
* https://ieeexplore.ieee.org/document/11476268
* https://ieeexplore.ieee.org/document/11506571
* https://ieeexplore.ieee.org/document/11395783
* https://ieeexplore.ieee.org/document/11476181
* https://ieeexplore.ieee.org/document/11465695
* https://ieeexplore.ieee.org/document/11491850
Selected community contributions:
* Speaker and keynote speaker at AI, Edge AI, cloud-native, cybersecurity, C++, and distributed systems events
* Peer reviewer for international conferences and journals through EDAS and Microsoft CMT
* Judge and mentor for multiple innovation, AI, and developer hackathons, including NVIDIA Hackathon, Perforated AI Hackathon, Google Developers Group Hackathon, TAMUHack 2026, TidalHack:26, Hack4Health, Aethera Hackathons, DevForge Hackathon, and Founder Forge Hackathon. These roles included evaluating technical depth, innovation, real-world impact, AI/ML implementation quality, and mentoring participants on solution design, architecture, and presentation.
* Technical book reviewer for AI, GPU programming, and software engineering topics
* Mentor for experienced engineers and industry professionals through ADPList and Linux Foundation mentorship platforms
* Published technical author on Edge AI, Agentic AI, intelligent intrusion prevention, industrial AI, cloud-edge systems, and feature management workflows
Selected speaking engagements:
* The Twelve Clouds of Christmas, Year 15, December 2025
* AI Loves Data Austin at Oracle HQ, Agentic AI and Governance, February 2026
* AI, ML and Computer Vision Meetup at Voxel51, March 2026
* C++Online 2026, “Building High Performance Distributed Systems in Modern C++,” March 2026
* AI Governance Leadership Forum: Digital Summit 2026, March 2026
* CNCF Kubernetes Austin, NVIDIA RAG on Kubernetes and policy platform modernization, March 2026
* PyTorch Conference Europe 2026, April 2026
* IEEE CTSoc Technical Talks, invited keynote speaker, April 2026
* ML Week Hybrid AI 2026, keynote speaker, May 2026
Selected open-source contribution links:
GitHub: https://github.com/ssam18
Secondary GitHub: https://github.com/SamareshSingh
PyTorch: https://github.com/pytorch/pytorch/pull/178524
PyTorch: https://github.com/pytorch/pytorch/pull/178957
PyTorch: https://github.com/pytorch/pytorch/pull/184614
vLLM: https://github.com/vllm-project/vllm/pull/39342
vLLM: https://github.com/vllm-project/vllm/pull/41486
Ray: https://github.com/ray-project/ray/pull/62588
MLCommons Inference: https://github.com/mlcommons/inference/pull/2466
MLCommons Inference: https://github.com/mlcommons/inference/pull/2439
NVIDIA TensorRT-LLM: https://github.com/NVIDIA/TensorRT-LLM/pull/10320
NVIDIA TensorRT-LLM: https://github.com/NVIDIA/TensorRT-LLM/pull/13166
NVIDIA TensorRT-LLM: https://github.com/NVIDIA/TensorRT-LLM/pull/14538
OpenVINO: https://github.com/openvinotoolkit/openvino/pull/35428
OpenVINO: https://github.com/openvinotoolkit/openvino/pull/36016
ONNX Runtime: https://github.com/microsoft/onnxruntime/pull/28057
ONNX Script: https://github.com/microsoft/onnxscript/pull/2916
OpenCV: https://github.com/opencv/opencv/pull/27979
OpenCV: https://github.com/opencv/opencv/pull/27980
OpenCV: https://github.com/opencv/opencv/pull/28724
OpenCV: https://github.com/opencv/opencv/pull/28780
OpenCV: https://github.com/opencv/opencv/pull/28826
OpenCV: https://github.com/opencv/opencv/pull/28939
OpenCV: https://github.com/opencv/opencv/pull/28954
OpenCV: https://github.com/opencv/opencv/pull/29081
OpenCV: https://github.com/opencv/opencv/pull/29253
Keras: https://github.com/keras-team/keras/pull/22054
Keras: https://github.com/keras-team/keras/pull/21860
Keras: https://github.com/keras-team/keras/pull/21834
Keras: https://github.com/keras-team/keras/pull/22598
Keras: https://github.com/keras-team/keras/pull/22617
llama.cpp: https://github.com/ggml-org/llama.cpp/pull/19581
llama.cpp: https://github.com/ggml-org/llama.cpp/pull/17331
llama.cpp: https://github.com/ggml-org/llama.cpp/pull/19532
llama.cpp: https://github.com/ggml-org/llama.cpp/pull/22063
llama.cpp: https://github.com/ggml-org/llama.cpp/pull/22102
llama.cpp: https://github.com/ggml-org/llama.cpp/pull/21653
Ollama: https://github.com/ollama/ollama/pull/14210
Ollama: https://github.com/ollama/ollama/pull/13124
Cilium: https://github.com/cilium/cilium/pull/45370
Cilium: https://github.com/cilium/cilium/pull/45721
Cilium: https://github.com/cilium/cilium/pull/45888
Cilium: https://github.com/cilium/cilium/pull/45868
Cilium: https://github.com/cilium/cilium/pull/45966
Grafana: https://github.com/grafana/grafana/pull/121603
Grafana: https://github.com/grafana/grafana/pull/122288
Grafana: https://github.com/grafana/grafana/pull/124516
Grafana: https://github.com/grafana/grafana/pull/125029
Snort3: https://github.com/snort3/snort3/pull/433
Snort3: https://github.com/snort3/snort3/pull/438
Suricata: https://github.com/OISF/suricata/pull/15570
Suricata Verify: https://github.com/OISF/suricata-verify/pull/3149
OpenSSL: https://github.com/openssl/openssl/pull/29166
OpenSSL: https://github.com/openssl/openssl/pull/30888
OpenSSL: https://github.com/openssl/openssl/pull/30587
MLflow: https://github.com/mlflow/mlflow/pull/22649
pandas: https://github.com/pandas-dev/pandas/pull/65052
SciPy: https://github.com/scipy/scipy/pull/23979
Docker Compose: https://github.com/docker/compose/pull/13669
Falco: https://github.com/falcosecurity/falco/pull/3858
KubeEdge: https://github.com/kubeedge/kubeedge/pull/6739
Beman Project span: https://github.com/bemanproject/span/pull/12
Selected links:
* LinkedIn: https://www.linkedin.com/in/samaresh-singh-9772ba23/
* GitHub: https://github.com/ssam18
* Secondary GitHub: https://github.com/SamareshSingh
* Google Scholar: https://scholar.google.com/citations?hl=en&amp;user=3z9qzooAAAAJ
* Public implementation: https://github.com/ssam18/zta-federated-learning
* Hugging Face dataset: https://huggingface.co/datasets/ssam17/Edge-Industrial-Anomaly-Phi3
* Hugging Face model: https://huggingface.co/ssam17/phi3-industrial-anomaly
My long-term goal as a PyTorch Foundation Ambassador is to help developers, students, researchers, and enterprise engineers build reliable, secure, scalable, and production-ready AI systems using PyTorch and the broader PyTorch Foundation ecosystem. I would like to contribute through open-source work, practical education, mentorship, technical workshops, content creation, and production-focused guidance across AI infrastructure, Edge AI, LLMOps, MLOps, secure AI, and industrial AI adoption.
</t>
  </si>
  <si>
    <t xml:space="preserve">I want to become a PyTorch Foundation Ambassador because PyTorch has become one of the most important platforms for modern AI development, research, and production deployment. It is widely used by researchers, students, startups, enterprises, and open-source communities, and I would like to help expand its impact through education, mentorship, technical advocacy, and practical production-focused guidance.
My background is strongly aligned with the needs of the PyTorch community. I have spent more than two decades building distributed systems, AI/ML infrastructure, cloud-edge platforms, cybersecurity systems, and production-grade software. At HP Inc., my work focuses on enterprise AI, Edge AI, hybrid AI, GPU-enabled workflows, AI infrastructure, and reliable deployment patterns. I understand the challenges teams face when moving from a notebook or prototype to a production system that must meet latency, reliability, security, monitoring, and cost requirements.
I am especially motivated to support developers who want to use PyTorch beyond experimentation. Many teams understand model training, but they struggle with deployment, inference performance, observability, model drift, security, scaling, MLOps, and real-world infrastructure tradeoffs. I would like to help make these topics more accessible through talks, tutorials, workshops, articles, code examples, and mentorship.
I also want to help connect the PyTorch ecosystem with important growth areas such as Edge AI, federated learning, secure AI, industrial IoT, model serving, LLMOps, vLLM, Ray, OpenVINO, ONNX Runtime, and heterogeneous compute. These areas are becoming increasingly important as AI systems move closer to production users, enterprise workflows, industrial environments, and edge devices.
Becoming a PyTorch Foundation Ambassador would allow me to serve the community more formally, share practical knowledge, support new contributors, and help grow PyTorch adoption across industry, research, and developer communities.
</t>
  </si>
  <si>
    <t xml:space="preserve">As a PyTorch Foundation Ambassador, I would contribute through a combination of technical education, open-source contribution, community building, mentorship, and production-focused developer advocacy.
First, I would create practical educational content focused on production PyTorch. Topics would include model training to deployment workflows, PyTorch inference optimization, model serving, observability, model drift detection, Edge AI deployment, distributed inference, GPU and heterogeneous compute usage, and reliability patterns for production AI systems. I would aim to create content that helps developers move from prototype to production with confidence.
Second, I would organize and support community sessions, workshops, webinars, and meetups. I am especially interested in sessions such as:
- Building production-grade PyTorch inference pipelines
- Deploying PyTorch models at the edge
- PyTorch with Ray, vLLM, OpenVINO, and ONNX Runtime
- Observability and drift monitoring for PyTorch models
- Secure and trustworthy AI systems using PyTorch
- Federated learning and Edge AI with PyTorch
- MLOps and LLMOps patterns for enterprise AI teams
Third, I would mentor new contributors and developers. Many engineers want to contribute to AI open source but do not know how to start. I can help them identify approachable issues, understand contribution workflows, write better bug reports, improve documentation, and build confidence submitting pull requests.
Fourth, I would continue contributing to PyTorch Foundation and ecosystem projects through GitHub. My contribution focus would include documentation, examples, reliability improvements, tests, production usability, inference workflows, and integration guidance across related projects such as PyTorch, vLLM, Ray, Safetensors, and other serving or deployment tools.
Fifth, I would help grow PyTorch adoption in enterprise, edge, and industrial AI communities. My background in distributed systems, cybersecurity, IoT/IIoT, and cloud-edge infrastructure allows me to explain PyTorch in contexts where reliability, compliance, latency, and security matter. This can help bring more production engineering voices into the PyTorch community.
Finally, I would use my speaking, research, reviewer, and open-source experience to represent the PyTorch Foundation professionally and responsibly. I would actively promote the PyTorch Code of Conduct, support inclusive community growth, and help make the ecosystem welcoming to students, researchers, engineers, and first-time contributors.
</t>
  </si>
  <si>
    <t>aliagowani</t>
  </si>
  <si>
    <t>Additional supporting context:
I am a Principal Engineer at HP Inc. with more than 21 years of experience in AI/ML infrastructure, distributed systems, cybersecurity, Edge AI, cloud-edge platforms, and production software architecture.
Selected highlights:
- IEEE Senior Member
- Google Developer Expert in AI
- Nvidia Developer Champion
- Docker Captain
- Active open-source contributor across AI, ML, cloud-native, observability, and infrastructure projects
- Speaker at AI, Edge AI, cloud, cybersecurity, and distributed systems events
- Reviewer and session chair for multiple technical conferences
- Technical book reviewer for AI and software engineering topics
- 1st Place Best Paper Award at IEEE SaTC 2026 for “Zero-Trust Agentic Federated Learning for Secure IIoT Defense Systems”
Selected links:
- LinkedIn: https://www.linkedin.com/in/samaresh-singh-9772ba23/
- GitHub: https://github.com/ssam18
- Google Scholar: https://scholar.google.com/citations?hl=en&amp;user=3z9qzooAAAAJ
- Award-winning paper: https://arxiv.org/pdf/2512.23809
- Public implementation: https://github.com/ssam18/zta-federated-learning
- PyTorch PR: https://github.com/pytorch/pytorch/pull/178524
- PyTorch PR: https://github.com/pytorch/pytorch/pull/178957
- vLLM PR: https://github.com/vllm-project/vllm/pull/39342
- MLCommons PR: https://github.com/mlcommons/inference/pull/2466
- MLCommons PR: https://github.com/mlcommons/inference/pull/2439
My long-term goal as a PyTorch Foundation Ambassador is to help developers, students, researchers, and enterprise engineers build reliable, secure, and scalable AI systems using PyTorch and the broader PyTorch Foundation ecosystem.</t>
  </si>
  <si>
    <t xml:space="preserve">Ali Gowani
</t>
  </si>
  <si>
    <t xml:space="preserve">Dallas, Texas, USA
</t>
  </si>
  <si>
    <t xml:space="preserve">https://github.com/aliagowani
</t>
  </si>
  <si>
    <t xml:space="preserve">https://www.linkedin.com/in/aliagowani/
</t>
  </si>
  <si>
    <t xml:space="preserve">Over the past several years, I have made meaningful contributions to the PyTorch ecosystem through education, community advocacy, and industry engagement. As a professor teaching graduate-level courses in Masters of Science in Data Science program at Northwestern University, I designed and introduced the first [Recommender Systems curriculum at Northwestern](https://www.linkedin.com/posts/northwestern-university-school-of-professional-studies_northwestern-ms-in-data-science-curriculum-activity-7303414106538053633-KBlV?utm_source=share&amp;utm_medium=member_desktop&amp;rcm=ACoAAAAgOnYBu59R_BJ2DcI0PUBLnMhH_O2-ANQ) to formally incorporate PyTorch as a core framework for modern recommendation modeling and deep learning workflows. The course emphasizes practical implementation of large-scale recommendation architectures, including two-tower retrieval systems, embedding models, ranking pipelines, TorchMetrics evaluation, and distributed training concepts using PyTorch and TorchRec. By integrating PyTorch directly into graduate instruction, I have helped prepare students for real-world machine learning engineering and production AI systems while expanding PyTorch adoption among emerging data scientists and AI practitioners. I partnered with Meta and PyTorch to do an event with students on [scaling AI systems](https://www.linkedin.com/posts/last-week-ali-afzal-from-pytorch-and-torchrec-ugcPost-7333654472830726145-O6kj/?utm_source=share&amp;utm_medium=member_desktop&amp;rcm=ACoAAAAgOnYBu59R_BJ2DcI0PUBLnMhH_O2-ANQ) (over 70 in-person and virtual attendees). 
In addition to academic instruction, I have actively contributed to the broader PyTorch community through technical talks, workshops, and professional speaking engagements. I conducted an Agentic AI workshop, where I presented PyTorch and AI-driven recommendation systems at industry and leadership-focused events including the [IPN Summit](https://www.linkedin.com/posts/aliagowani_pytorch-pytorchfoundation-thelinuxfoundation-ugcPost-7414370045318991872-nnBh/?utm_source=share&amp;utm_medium=member_desktop&amp;rcm=ACoAAAAgOnYBu59R_BJ2DcI0PUBLnMhH_O2-ANQ) (over 5,000 attendees and 100+ workshop participants) and the SMU Cox School of Business: Business Leadership Center, where discussions focused on the intersection of PyTorch, and business innovation. These presentations helped bridge the gap between academic research, open-source AI tooling, and enterprise adoption. I consistently advocate for accessible, production-oriented AI education using open-source technologies, with PyTorch serving as a foundational platform for experimentation, research, and deployment.
Through graduate teaching, mentorship, curriculum development, and public speaking, I have directly supported educational initiatives that expose students, researchers, and professionals to PyTorch-based AI development. These contributions have helped expand awareness of PyTorch within both academic and business communities while encouraging hands-on adoption of modern deep learning and recommender system methodologies.
</t>
  </si>
  <si>
    <t xml:space="preserve">I want to become a PyTorch Foundation Ambassador because I see a significant opportunity to expand the impact of PyTorch across education, enterprise AI adoption, and emerging technical communities. Through my work at Northwestern University and Meta, as well as, industry-facing workshops and speaking engagements, I have focused on demonstrating how PyTorch can bridge cutting-edge research with practical, scalable AI implementation. I believe the Foundation plays a critical role in shaping the future of open-source AI infrastructure and education.
As an Ambassador, I would continue contributing through technical education, ecosystem advocacy, mentorship, and community-building initiatives that encourage broader participation in PyTorch projects and technologies. My goal is to help cultivate a stronger pipeline of students, engineers, and business leaders who can meaningfully contribute to the open-source AI ecosystem while promoting responsible and scalable AI innovation.
</t>
  </si>
  <si>
    <t xml:space="preserve">I would contribute as a PyTorch Foundation Ambassador by continuing to expand educational outreach, technical advocacy, and community engagement initiatives centered around PyTorch and its ecosystem. Through my role teaching graduate-level AI and Recommender Systems courses at Northwestern University, I have already helped introduce students to production-oriented machine learning workflows using PyTorch, TorchRec, and modern recommendation architectures. As an Ambassador, I would further support the community by organizing workshops, speaking at conferences and universities, and promoting PyTorch at Meta to increase applicability between academic research and real-world AI implementation.
I also plan to continue fostering collaboration between academia, industry, and the open-source AI ecosystem through technical events and community partnerships. Building on prior engagements with Meta, PyTorch community initiatives, the IPN Summit, and the [SMU Cox School of Business: Business Leadership Center](https://www.linkedin.com/posts/smu-cox-school-of-business--mba-business-leadership-center_smucox-blc-meta-activity-7351629468446134273-JJv4?utm_source=share&amp;utm_medium=member_desktop&amp;rcm=ACoAAAAgOnYBu59R_BJ2DcI0PUBLnMhH_O2-ANQ), I would use the Ambassador role to help grow awareness of PyTorch across both technical and business communities. My goal is to encourage broader participation in open-source AI development while helping students, researchers, and professionals build scalable, responsible, and impactful AI systems using PyTorch technologies.
</t>
  </si>
  <si>
    <t xml:space="preserve">- [x] Community Building
- [x] Technical Education
- [ ] Open Source Contributions
- [x] Research &amp; Academia
- [ ] Developer Advocacy
- [ ] Mentorship
- [x] Events &amp; Workshops
- [x] Content Creation
- [ ] Regional Community Growth
- [ ] Other
</t>
  </si>
  <si>
    <t>**Additional community engagement and speaking activities include:**
- PyTorch and AI Systems workshop collaboration with Meta and PyTorch community members
- Technical presentations at the IPN Summit (January 2026)
- AI and leadership discussions at the SMU Cox School of Business: Business Leadership Center (twice a year, next scheduled July 2026)
- Advocacy for open-source AI education and production-oriented PyTorch adoption (ongoing)
**Supporting links:**
- [Northwestern Recommender Systems Curriculum](https://www.linkedin.com/posts/northwestern-university-school-of-professional-studies_northwestern-ms-in-data-science-curriculum-activity-7303414106538053633-KBlV)
- [Scaling AI Systems Event](https://www.linkedin.com/posts/last-week-ali-afzal-from-pytorch-and-torchrec-ugcPost-7333654472830726145-O6kj)
- [IPN Summit PyTorch Workshop](https://www.linkedin.com/posts/aliagowani_pytorch-pytorchfoundation-thelinuxfoundation-ugcPost-7414370045318991872-nnBh)
- [Southern Methodist University: Business Leadership Center](https://www.linkedin.com/posts/smu-cox-school-of-business--mba-business-leadership-center_smucox-blc-meta-activity-7351629468446134273-JJv4?utm_source=share&amp;utm_medium=member_desktop&amp;rcm=ACoAAAAgOnYBu59R_BJ2DcI0PUBLnMhH_O2-ANQ)</t>
  </si>
  <si>
    <t>This nominee has demonstrated solid educational engagement with PyTorch through graduate-level teaching at Northwestern and workshop delivery at multi-thousand-attendee events, with strong technical communication skills evident across academic and business audiences. However, I note the complete absence of direct contributions to PyTorch Foundation projects, engagement is real but indirect.</t>
  </si>
  <si>
    <t>This candidate demonstrates solid educational commitment through recently created PyTorch teaching materials (11 labs, 80 students) and mentorship of 1 PhD candidate and 1 intern, but evidence of broader PyTorch community engagement or technical contributions is limited. A significant discrepancy exists between the claimed 5 PyTorch-related research papers and the verified Google Scholar profile showing exclusively nuclear reactor simulation research, and unable to tell how much pytorch related content was included.</t>
  </si>
  <si>
    <t>ozgecinko</t>
  </si>
  <si>
    <t xml:space="preserve">Özge Çinko
</t>
  </si>
  <si>
    <t xml:space="preserve">Istanbul, Turkey
</t>
  </si>
  <si>
    <t xml:space="preserve">https://github.com/ozgecinko
</t>
  </si>
  <si>
    <t xml:space="preserve">https://www.linkedin.com/in/ozgecinko/
</t>
  </si>
  <si>
    <t xml:space="preserve">https://ozgecinko.medium.com/
</t>
  </si>
  <si>
    <t xml:space="preserve">I am an AI Engineer with hands-on experience across computer vision, recommendation systems, LLM, and agentic AI platforms.
My journey into AI started during my Computer Engineering studies at Sakarya University, where I worked on an Alzheimer's disease detection project using MRI images as my graduation project. After graduation, I continued building experience in machine learning and AI engineering roles, including a TÜBİTAK-supported image segmentation project at BrandZone and recommendation system work at Huawei.
At Huawei, I worked as an AI Research Engineer on AppGallery's recommendation system, focusing on feature engineering, model training, experimentation, and A/B testing. This experience helped me grow both technically and as a communicator, especially in explaining AI systems to broader technical audiences.
I am currently working as an AI Engineer at ING Bank in a newly established AI team focused on AI solutions and agent orchestration platform. My current interests include LLMs, agentic AI and vLLMS.
In parallel with my engineering work, I actively contribute to the Python and AI community through conference talks, technical education, and community organizing. I have spoken or been accepted as a speaker at several international conferences, including:
- PyCon Sweden 2025 - Building Harry Potter’s Mirror of Erised with Python
- PyCon Netherlands 2025 - How Shazam Identifies Songs in 5 Seconds: Audio Fingerprinting with Python
- PyCon Lithuania 2026 - Measuring Experiments in LLMs: A/B Testing and Automated Testing
- PyCon Italia 2026 - Designing Memory with AI Applications in Python
- PyData London 2026 - LLM-Based Recommendation Systems: From Embeddings to Real Personalization
I am also involved in the local Python community in Turkey as part of PyLadies Istanbul and Python Turkey, where I support community growth and help organize events.
As a PyTorch Foundation Ambassador, I would like to focus on technical education, developer advocacy and content creation. 
</t>
  </si>
  <si>
    <t xml:space="preserve">I want to become a PyTorch Foundation Ambassador because PyTorch has become one of the most important technologies behind modern AI development, from research and experimentation to production-scale AI systems.
My own path has been shaped by open-source technologies, Python communities, and AI education. I started with curiosity about building things on the web, then moved into machine learning, computer vision, recommendation systems, LLMs, and now agentic AI platforms. Throughout this journey, community and knowledge sharing have played a major role in my growth.
I am particularly motivated to support the PyTorch community in Turkey.
As an Ambassador, I would like to create technical content, and speak about practical AI topics.
My goal is to make PyTorch more approachable for developers who want to move from learning AI concepts to building real-world AI systems, while also encouraging open-source contribution and regional community growth.
</t>
  </si>
  <si>
    <t xml:space="preserve">As a PyTorch Foundation Ambassador, I would contribute through technical education, community building, developer advocacy, and AI-focused knowledge sharing.
I actively speak at international Python and AI conferences, and I plan to continue creating talks and workshops around practical AI topics powered by the PyTorch ecosystem.
I would also like to organize and support local community events, workshops, and educational initiatives in Turkey to help developers and students become more involved in open-source AI technologies.
Beyond speaking and content creation, I want to contribute by mentoring early-career developers and helping bridge the gap between learning AI concepts and building real-world AI systems.
Through my work in AI engineering and community engagement, I hope to make PyTorch more approachable, practical, and accessible for developers who are entering the modern AI ecosystem.
</t>
  </si>
  <si>
    <t xml:space="preserve">Turkey
</t>
  </si>
  <si>
    <t>I have also participated in community contribution initiatives such as Docathon 2026. This experience was one of my first steps toward open-source contribution, and it motivated me to become more involved in the PyTorch open-source ecosystem over time.</t>
  </si>
  <si>
    <t>This nominee has demonstrated strong communication and technical education skills through seven international conference talks and published AI content, along with recent Docathon contributions to PyTorch Foundation projects. I recommend acceptance based on proven speaking ability, regional value (Turkey/Middle East), and educational impact, though engagement with Foundation projects is recent and plans would benefit from more PyTorch-specific focus.</t>
  </si>
  <si>
    <t>Reviewer 05 — Applications &amp; Scoring</t>
  </si>
  <si>
    <t>rikhi-rs</t>
  </si>
  <si>
    <t xml:space="preserve">Rikhi Ram Satnami
</t>
  </si>
  <si>
    <t xml:space="preserve">Hyderbad, India
</t>
  </si>
  <si>
    <t xml:space="preserve">https://github.com/rikhi-rs
</t>
  </si>
  <si>
    <t xml:space="preserve">https://www.linkedin.com/in/rikhi-rs/
</t>
  </si>
  <si>
    <t xml:space="preserve">https://x.com/rickhyrs
</t>
  </si>
  <si>
    <t xml:space="preserve">- [x] Open source contributions
- [ ] Technical content creation
- [ ] Community leadership
- [ ] Events or workshops
- [x] Research or academic work
- [x] Mentorship
- [ ] University or student outreach
- [ ] Translation or localization efforts
- [x] Other
</t>
  </si>
  <si>
    <t xml:space="preserve">N/A
</t>
  </si>
  <si>
    <t xml:space="preserve">I want to do rnd
</t>
  </si>
  <si>
    <t xml:space="preserve">I am core developer
</t>
  </si>
  <si>
    <t xml:space="preserve">- [ ] Community Building
- [ ] Technical Education
- [x] Open Source Contributions
- [x] Research &amp; Academia
- [ ] Developer Advocacy
- [x] Mentorship
- [ ] Events &amp; Workshops
- [ ] Content Creation
- [ ] Regional Community Growth
- [ ] Other
</t>
  </si>
  <si>
    <t>Reviewer 06 — Applications &amp; Scoring</t>
  </si>
  <si>
    <t xml:space="preserve">Question 8 Score (1–5)
Does the nominee demonstrate the knowledge, engagement, and communication skills necessary to effectively represent PyTorch Foundation projects and communities as an Ambassador?
</t>
  </si>
  <si>
    <t>GuilhermeLossio</t>
  </si>
  <si>
    <t xml:space="preserve">Guilherme Ferreira Medeiros Lossio
</t>
  </si>
  <si>
    <t xml:space="preserve">Brazil
</t>
  </si>
  <si>
    <t xml:space="preserve">Guilherme Ferreira Medeiros Lossio
</t>
  </si>
  <si>
    <t xml:space="preserve">https://www.linkedin.com/in/guilherme-lossio/
</t>
  </si>
  <si>
    <t xml:space="preserve">https://x.com/SacMinerva
</t>
  </si>
  <si>
    <t xml:space="preserve">- [x] Open source contributions
- [x] Technical content creation
- [ ] Community leadership
- [x] Events or workshops
- [ ] Research or academic work
- [ ] Mentorship
- [x] University or student outreach
- [x] Translation or localization efforts
- [ ] Other
</t>
  </si>
  <si>
    <t xml:space="preserve">I am contributing to the PyTorch ecosystem through a public education and community initiative focused on making practical PyTorch education more accessible to Brazilian developers.
My main initiative is a free, project-based PyTorch learning roadmap for the Brazilian machine learning community. The program is designed as a 16-week public education track delivered in Brazilian Portuguese, with bilingual supporting materials in Portuguese and English. It is intended to support ML students, junior ML engineers, backend developers transitioning into AI/ML, Python professionals, and beginner open-source contributors.
The initiative is structured around four progressive phases:
1. Deep Learning Foundations: tensors, autograd, backpropagation, and first neural networks.
2. Advanced PyTorch Core: datasets, DataLoaders, robust training, metrics, checkpoints, CNNs, and transfer learning.
3. Applications and Modern Architectures: NLP, Transformers, advanced computer vision, deployment, TorchScript, ONNX, TorchServe, FastAPI, and scaling topics.
4. Community Contribution Strategy: public portfolio organization, technical articles, community Q&amp;A, participation on discuss.pytorch.org, and preparation for open-source contribution to the PyTorch ecosystem.
Through this initiative, I plan to publish 32+ YouTube lessons, 32+ executable Colab notebooks, 8+ practical projects with organized GitHub repositories, 3+ technical articles, one practical PyPI package, and a documented community impact log. I also plan to support the community through Q&amp;A sessions, technical discussions, educational posts, and participation in PyTorch-related community channels.
My technical background includes PyTorch, TensorFlow/Keras, scikit-learn, YOLOv8, FastAPI-based inference APIs, MLOps workflows, Docker, GitHub Actions, AWS, and applied ML projects. This allows me to teach PyTorch not only from a beginner perspective, but also from the perspective of production-oriented machine learning systems, reproducibility, deployment, and real-world engineering practices.
The expected impact of this initiative will be measured through published lessons, GitHub repositories, notebook usage, issues, forks, stars, questions answered, live session attendance, technical articles, testimonials, and accepted contributions or issues in the PyTorch ecosystem.
Supporting links:
GitHub: https://github.com/GuilhermeLossio
LinkedIn: https://linkedin.com/in/guilherme-lossio
YouTube playlist: https://www.youtube.com/@guilhermelossioai
</t>
  </si>
  <si>
    <t xml:space="preserve">In the future, I plan to become a strong reference in the Machine Learning field, especially by contributing to education, open-source projects, and community growth.
I have been using PyTorch for around two years, and I am currently planning to contribute to the Brazilian AI/ML community by creating a structured series of classes, tutorials, and practical projects focused on PyTorch and other AI libraries.
My goal is to make high-quality Machine Learning education more accessible to Brazilian developers, students, and engineers who want to transition into AI. Through this initiative, I intend to share practical examples, public notebooks, GitHub repositories, and project-based content that can help people understand not only how to use PyTorch, but also how to apply it in real-world machine learning systems.
</t>
  </si>
  <si>
    <t xml:space="preserve">As a PyTorch Foundation Ambassador, I would contribute by helping grow the Brazilian PyTorch community through education, mentorship, technical content, and open-source engagement.
My main focus would be to make practical PyTorch education more accessible to Portuguese-speaking developers, students, and engineers. I plan to organize a structured educational initiative with free YouTube lessons, public Colab notebooks, GitHub repositories, and project-based tutorials covering PyTorch fundamentals, tensors, autograd, neural networks, CNNs, NLP, Transformers, deployment, and production-oriented ML workflows.
I would also support community growth by organizing online workshops, live Q&amp;A sessions, and technical discussions for Brazilian developers who want to learn or improve their PyTorch skills. These sessions would be especially focused on beginners, junior ML engineers, backend developers transitioning into AI/ML, and open-source contributors who want to understand how to participate in the PyTorch ecosystem.
In addition to content creation, I would contribute through mentorship and technical advocacy. I would help new contributors understand PyTorch concepts, guide them through public notebooks and repositories, answer questions in community spaces, and encourage best practices around reproducibility, model deployment, testing, and production ML systems.
I would also use my background in AI engineering, MLOps, backend systems, and applied machine learning to create practical examples that connect PyTorch with real-world use cases. My goal would be to bridge the gap between learning PyTorch theoretically and applying it in real machine learning projects.
Overall, I would contribute as an Ambassador by representing and supporting the Brazilian AI/ML community, creating accessible educational resources, mentoring new learners and contributors, promoting PyTorch adoption, and helping connect local developers with the broader global PyTorch Foundation ecosystem.
</t>
  </si>
  <si>
    <t xml:space="preserve">- [x] Community Building
- [x] Technical Education
- [x] Open Source Contributions
- [x] Research &amp; Academia
- [ ] Developer Advocacy
- [ ] Mentorship
- [ ] Events &amp; Workshops
- [x] Content Creation
- [x] Regional Community Growth
- [ ] Other
</t>
  </si>
  <si>
    <t>Reviewer 07 — Applications &amp; Scoring</t>
  </si>
  <si>
    <t>Aspirational candidate, no involvement with pytorch org or any real verifiable work. Youtube channel has no videos. Only has a plan but lacks familarity with PyTorch projects.</t>
  </si>
  <si>
    <t>debnsuma</t>
  </si>
  <si>
    <t xml:space="preserve">Suman Debnath
</t>
  </si>
  <si>
    <t xml:space="preserve">Sunnyvale
</t>
  </si>
  <si>
    <t xml:space="preserve">https://github.com/debnsuma
</t>
  </si>
  <si>
    <t xml:space="preserve">https://www.linkedin.com/in/suman-d/
</t>
  </si>
  <si>
    <t>JohnnyKozman2007</t>
  </si>
  <si>
    <t xml:space="preserve">Johnny Kozman
</t>
  </si>
  <si>
    <t xml:space="preserve">https://github.com/JohnnyKozman2007
</t>
  </si>
  <si>
    <t>Dongjun shows up on the discuss.pytorch.kr about page as an organizer, and the Korean tutorial translations are real. That said, I couldn't find his name in the official vLLM Korea Meetup blog post, and he's not in the PyTorchKR GitHub org. No code contributions to any Foundation project. The community work looks genuine but it's only been since January 2026, still pretty fresh. I'd call him a solid emerging contributor in the Korean ecosystem, just not yet at the level where the impact speaks for itself.</t>
  </si>
  <si>
    <t xml:space="preserve">Suman Debnath has spent the past five years building developer communities, creating educational content, and leading technical advocacy at the intersection of distributed computing, generative AI, and open-source infrastructure; all within the PyTorch Foundation's project ecosystem.
**Ray (PyTorch Foundation Project) : Community Builder at Scale**
As Principal Developer Advocate and Head of Developer Relations at Anyscale (the company behind Ray), Suman built and led the go-to-market developer community for Ray, the open-source distributed computing framework that is now a PyTorch Foundation project. Under his leadership:
- Ray's PyPI downloads grew to **500M+ total** (52M/month; 1.3M in a single day in April 2026), driven in part by educational programming and community events he designed and executed.
- Anyscale's platform signups grew **13x** : from ~300/month to ~6,500/month peak, directly attributable to the developer relations programs he led.
- He organized and co-led the first-ever in-person **Ray Workshop SF** (75 engineers from Roku, Zoox, Yelp, Cribl) and **Ray Day Seattle** (44 enterprise contacts, $5.8M in tracked pipeline influence), collectively driving **$8.9M in directly attributed enterprise pipeline** documented in Anyscale's Salesforce CRM.
- He was a featured speaker at **Ray Summit 2025**, the flagship community event for Ray users worldwide.
- His single LinkedIn post on distributed training with Ray reached **325,000+ impressions and 800+ likes**.
**Open Source Contributions**
- **Ray with PyTorch Workshop for Distributed Training**: This workshop is for developers and ML engineers who are new to Ray and PyTorch or looking to expand their knowledge of distributed AI (training, inference and data porcessing).
   - GitHub: https://github.com/anyscale/ray-workshop-2026
- **ColPali multimodal RAG**: Authored a vision-language RAG implementation that was accepted into the **official ColPali GitHub repository (2,600+ stars)**. Independently validated and promoted by Qdrant and CrewAI. Personal repo: 190+ stars, 115+ forks. This work runs on PyTorch-based CLIP-family models.
  - GitHub: https://github.com/debnsuma/rag-pdf-colpali-mistral-mlx
- **DeepSeek on AWS**: Open-source tutorial repository bridging DeepSeek-R1 with production deployment; 37 stars, 38 forks.
  - GitHub: https://github.com/debnsuma/deepseek-r1-bedrock
- **AWS Pi Day 2024**: Open-source workshop repo with **593,000 unique viewers** on Pi Day 2024; amplified by freeCodeCamp founder Quincy Larson.
  - GitHub: https://github.com/debnsuma/aws-piday2024
- **BOA309 (AWS re:Invent 2022)**: End-to-end managed analytics pipeline presented at the world's largest cloud conference; open-source implementation available.
  - GitHub: https://github.com/debnsuma/boa309
**Large-Scale Educational Content**
Suman has created practitioner-grade education on PyTorch-adjacent ML infrastructure reaching millions of developers:
- **freeCodeCamp** RAG course: 44,000+ YouTube views; personally amplified by freeCodeCamp founder Quincy Larson (98,000+ LinkedIn followers).
- **Analytics Vidhya** 5.5-hour course on applied AI/ML (4M+ developer platform).
- **ODSC "Inside Multimodal RAG" workshop**: 110,000+ practitioners, **5/5 audience rating**.
- **AWS Strands Agents SDK** content: Presented at Anthropic's "Code w/ Claude" event; Strands Agents reached **1M+ downloads and 3,000+ GitHub stars** within four months of launch.
- Peer-reviewed research accepted at **IJCNLP-AACL 2025** (the premier NLP conference co-located with EMNLP), **IEEE Xplore**, and **arXiv**, directly relevant to the ML community PyTorch serves.
**Conference Speaking (100+ talks)**
Suman has delivered 100+ technical presentations at major PyTorch-ecosystem events:
- **AI Engineer Summit 2025 NYC** (with CrewAI and Qdrant, both PyTorch-based)
- **AI Engineer World Fair 2025 SF** (panelist)
- **ODSC East 2025 and ODSC West 2025** (keynote/workshop)
- **PyCon Italia 2023 Florence** (invited international speaker, Polars DataFrame training)
- **DataCon LA 2024** (Multimodal RAG session)
- **DataScienceDojo LLM Bootcamp** (invited keynote)
- **AWS re:Invent 2022** (two sessions: BOA309 and BOA322)
- **Ray Summit 2025**
- **Open Data Science Conference APAC 2023**
Supporting links:
- https://github.com/debnsuma (GitHub)
- https://github.com/debnsuma/rag-pdf-colpali-mistral-mlx (ColPali RAG)
- https://github.com/debnsuma/aws-piday2024 (AWS Pi Day 2024, 593K viewers)
- https://freecodecamp.org/news/learn-enterprise-ai-embeddings-rag-and-multimodal-agents-using-amazon-nova-and-bedrock/ (freeCodeCamp course)
- https://pytorch.org/blog/ *(Ray Summit talks indexed here)*
**Endorsement from PyTorch Foundation Leadership**
Mark Collier, Executive Director of the PyTorch Foundation and General Manager of AI &amp; Infrastructure at the Linux Foundation, has personally attested to Suman's "top-1% speaker status" at PyCon, ODSC, and AI Engineer Summit events and characterized his contributions as advancing the broader open-source ML ecosystem.
</t>
  </si>
  <si>
    <t xml:space="preserve">https://www.linkedin.com/in/jk-e-084b4425b/
</t>
  </si>
  <si>
    <t xml:space="preserve">My motivation to become a PyTorch Foundation Ambassador is rooted in the work I have already been doing, not a future aspiration. For the past two years at Anyscale, I was the person responsible for bringing the Ray community to life at the practitioner level: organizing workshops, creating courses, speaking at conferences, and building the bridge between open-source Ray and the engineers who run production ML workloads. Ray is now a PyTorch Foundation project. I was already serving as an informal ambassador for this ecosystem; formalizing that relationship with the Foundation is a natural next step.
There is also a specific gap I want to help close. The PyTorch ecosystem, PyTorch itself, Ray, vLLM, and the emerging agentic infrastructure layer, is increasingly the substrate on which enterprise AI is being built. But practitioners at the production stage face a steep learning curve: distributed training, serving, observability, and evaluation frameworks are all part of a coherent stack, but most educational content treats them in isolation. I have spent years building exactly this kind of integrated, systems-level curriculum (the zero-setup RAG curriculum at AWS, the Ray distributed training workshops at Anyscale, the multimodal RAG courses on freeCodeCamp and Analytics Vidhya), and I want to continue building it explicitly under the PyTorch Foundation banner.
Finally, the Foundation's mission of openness, inclusion, and global collaboration resonates directly with the community I have built. My developer community spans AWS, Anyscale, and Crusoe, three distinct segments of the AI infrastructure stack, across practitioners in North America, Europe, India, and APAC. I have given keynotes at Open Source India, PyCon Italia, ODSC APAC, and AWS Community Days in India and Ireland. The PyTorch Ambassador Program gives me a formal platform to amplify Foundation projects and values in communities where I already have deep relationships.
</t>
  </si>
  <si>
    <t xml:space="preserve">https://openreview.net/profile?id=%7EJohnny_Kozman1
</t>
  </si>
  <si>
    <t xml:space="preserve">As a PyTorch Foundation Ambassador, I would contribute across four areas:
**1. Quarterly Community Events**
I will organize at minimum one event per quarter in the San Francisco Bay Area, where I am based. These will be practitioner-focused technical workshops, not marketing events, covering Ray distributed computing, PyTorch model serving, agentic AI with PyTorch-based tooling (CrewAI, Qdrant, Strands Agents), and RAG infrastructure. My existing relationships with AICamp (400,000+ members globally, 30,000+ in SF), ODSC (110,000+ practitioners), and DataScienceDojo make it straightforward to reach audiences at scale. I will also extend this programming to India (where I have given keynotes at Open Source India and AWS Community Day Ahmedabad) and Ireland (where I spoke at PyData Ireland 2024 and AWS AI and Data Conference 2024), targeting underrepresented regions that the Foundation specifically wants to grow.
**2. Educational Content Pipeline**
I will create and publish PyTorch Foundation-branded educational content on a regular cadence: tutorials, blog posts, and video courses that bridge Foundation projects (Ray, PyTorch, vLLM) with the production deployment patterns practitioners actually need. My existing course infrastructure (freeCodeCamp, Analytics Vidhya, ODSC AI+) gives me an immediate distribution channel reaching 15M+ practitioners. I will specifically build content connecting Ray (distributed training and serving) with PyTorch model workflows, the gap between research training and production inference that most practitioners struggle to navigate.
**3. Open Source Contributions and Mentorship**
I will continue contributing to PyTorch Foundation project repositories, particularly Ray and projects that integrate with PyTorch for multimodal and RAG workloads. I will also mentor contributors new to Foundation projects, I currently mentor students at IEEE CS SYP and PyData, and I will extend that mentorship explicitly to PyTorch Foundation community members, helping onboard practitioners from the Global South and from underrepresented regions.
**4. Speaking at Foundation Events**
I will actively pursue speaking slots at the PyTorch Conference, Ray Summit, and regional Foundation community events, using those platforms to showcase production use cases, community growth metrics, and the real-world impact of Foundation projects in enterprise AI deployments.
Measurable commitments for the two-year term:
- Minimum 8 community events (2 per quarter)
- Minimum 4 pieces of technical educational content per year (tutorials, videos, or blog posts) referencing Foundation projects
- At least 2 speaking engagements at Foundation-affiliated events per year
- At least 10 practitioners actively mentored on Foundation projects
</t>
  </si>
  <si>
    <t xml:space="preserve">United States, India
</t>
  </si>
  <si>
    <t>**Key metrics summary for reviewers:**
| Metric | Value |
|--------|-------|
| Ray PyPI downloads (Foundation project) | 500M+ total; 52M/month |
| Platform signup growth driven at Anyscale | 13x (300/month → 6,500/month peak) |
| Enterprise pipeline attributed to Ray events | $8.9M (Salesforce CRM data) |
| Conference talks delivered (total) | 100+ |
| ColPali RAG repo (PyTorch-based, accepted into official repo | 2,600+ stars |
| freeCodeCamp course YouTube views | 44,000+ |
| ODSC practitioner reach | 110,000+ (5/5 rating) |
| Combined platform education reach | 15M+ practitioners |
| LinkedIn distributed training post | 325,000+ impressions |
| Peer-reviewed papers (IJCNLP-AACL, IEEE) | 6 |
**Endorsement from Foundation leadership:** Mark Collier, Executive Director of the PyTorch Foundation and General Manager AI &amp; Infrastructure at the Linux Foundation, has personally attested to Suman's contributions to the open-source ML ecosystem and characterized him as a top-1% technical communicator in the field.
**Current role:** Director, Developer Relations, Crusoe Energy Systems, the energy-first AI infrastructure company whose GPU data centers support some of the largest AI model training runs in production today, making Crusoe a natural entry point for practitioners running distributed PyTorch workloads at scale.
**Peer review:** Suman has been invited to review manuscripts for Springer Nature's *Scientific Reports* and *Discover Artificial Intelligence* journals, confirming recognition by the academic community that the Foundation serves.</t>
  </si>
  <si>
    <t xml:space="preserve">I am an applied AI/ML engineer who builds with PyTorch at the intersection of production systems and academic research. My contributions to the PyTorch ecosystem are grounded in technical depth, multilingual inclusion, and real-world evaluation frameworks.
Technical Work &amp; PyTorch in Production:
1) IELTS Speaking Exam Grader: I built an end-to-end PyTorch-based speech assessment pipeline combining Wav2Vec2, HuBERT, and Whisper to deliver band scores across pronunciation, grammar, fluency, and lexical resource. This project demonstrates my ability to orchestrate multiple PyTorch-based models into a production-grade application. link: https://github.com/JohnnyKozman2007/ielts_speaking_examiner
2) LLM Evaluation Infrastructure: At Dialagent, I built a full testing suite (WebUI, CLI, REST API) that benchmarked 20+ open-weight models. While this work uses Ollama and various APIs, my evaluation framework design—including LLM-as-a-Judge pipelines with custom penalties—is directly transferable to PyTorch model evaluation and deployment.
3) RAG &amp; Retrieval Systems: My work on restaurant-domain knowledge retrieval, testing factual accuracy across 60+ questions with context-conditioning prompts, shows my ability to build and evaluate retrieval-augmented generation systems—a core use case for PyTorch-based embedding models.
Community &amp; Research Contributions:
1) EMNLP MRL Benchmarks: I am a co-author on a dataset paper for a Global PIQA-style benchmark covering 100+ language varieties, with a 2026 focus on multimodal evaluation (text + audio) for under-resourced languages. This work directly aligns with PyTorch Foundation's mission of inclusive, globally accessible AI—my contributions help ensure that PyTorch-powered models are evaluated fairly across typologically diverse languages including Coptic, and Arabic.
2) Multilingual &amp; Low-Resource Focus: By creating high-quality QA pairs for low-resource languages, I am helping the broader ML community (including PyTorch users) build more equitable models. This is exactly the kind of grassroots, globally-conscious work the Ambassador Program seeks to amplify.
Note: Due to a signed non-compete clause, I am restricted from sharing the repositories I built.
</t>
  </si>
  <si>
    <t xml:space="preserve">I want to become a PyTorch Foundation Ambassador because I believe the future of AI should be built by everyone, everywhere—and PyTorch is the tool that makes that possible.
Representation matters: Based in Cairo, Egypt, I see firsthand the gap between global AI hubs and emerging tech communities. I want to be a bridge—not just bringing PyTorch to Egypt and the Middle East, but bringing Egyptian and Middle Eastern developers into the PyTorch community. As the program explicitly encourages applications from Africa and the Middle East, I see this as a direct call to action.
Local infrastructure is missing: Egypt's New Administrative Capital is growing rapidly, yet learning hubs and tech communities there are almost non-existent. Currently, students and professionals must commute from Giza and other areas to access AI education and mentorship. My university is positioned to serve this new governorate, and I want to fill that gap—establishing PyTorch as the foundation of AI learning in this emerging hub, so that the next generation doesn't have to travel hours to access world-class resources.
From consumer to contributor: I have built production systems with PyTorch (speech models, evaluation pipelines) and contributed to global research (EMNLP). I want to move from being a user of the ecosystem to a shaper of it—helping others discover PyTorch, contributing back to the community that enabled my work, and ensuring the next generation of AI engineers in my region have the mentorship and resources they need.
Low-resource languages are my compass: My work on Coptic and Arabic for EMNLP isn't just a research project—it's a personal mission. I believe that if PyTorch is going to be the foundation of global AI, it needs to work for all languages and all people. As an Ambassador, I want to ensure that multilingual and low-resource perspectives are not an afterthought but a core part of how the PyTorch community grows.
The bottom line: I don't want the title for recognition—I want it as a platform to do more of what I'm already doing: building, teaching, and making AI work for everyone.
</t>
  </si>
  <si>
    <t xml:space="preserve">I would contribute through a three-pillar approach that matches my skills, location, and mission.
Local Community Building (Egypt &amp; MENA)
I would host quarterly PyTorch meetups in Cairo, ranging from beginner workshops to advanced sessions on RAG and model deployment. Leveraging my strong ties to the University of Hertfordshire's Egypt campus—where I maintain a 4.5/4.5 CGPA—I would partner with professors to integrate PyTorch into coursework and mentor undergraduate researchers. Additionally, I would create Arabic-language tutorials and content to make PyTorch accessible to developers who may not be comfortable with English-only resources, directly addressing the program's goal of expanding Ambassador representation across underrepresented regions.
Technical Content &amp; Advocacy
Drawing from my experience benchmarking 20+ models at Dialagent and building production pipelines at Heiwa, I would write tutorials on LLM evaluation, RAG, and model deployment with PyTorch—filling a gap in the current ecosystem. As an EMNLP contributor and engineering lead, I am comfortable speaking at conferences and meetups, where I would represent PyTorch and advocate for low-resource language evaluation, connecting researchers working on underrepresented languages and helping them share resources.
Mentorship &amp; Inclusive Participation
I would mentor students and early-career developers in Egypt and the broader MENA region, helping them build their first PyTorch projects and contribute to open source. I would also design an "AI for Everyone" workshop series showing how PyTorch solves real-world problems—not just academic benchmarks—making the technology accessible to non-researchers and encouraging diverse participation. Currently, there is no formal PyTorch user group in Egypt; I would work to establish one, creating a sustainable community that outlasts my Ambassadorship.
Measurable Impact (Year 1)
4 events organized (quarterly)
6+ tutorials/blogs published
20+ new PyTorch users mentored
4+ Arabic-language PyTorch content pieces
50+ active community members in Egypt
In short, I will bring PyTorch to Egypt—not just as a tool, but as a community and a movement—building bridges between global AI and local talent, and ensuring the next generation of AI engineers in my region have the mentorship and resources they need to succeed.
</t>
  </si>
  <si>
    <t xml:space="preserve">- [ ] Community Building
- [x] Technical Education
- [x] Open Source Contributions
- [x] Research &amp; Academia
- [ ] Developer Advocacy
- [ ] Mentorship
- [x] Events &amp; Workshops
- [x] Content Creation
- [ ] Regional Community Growth
- [ ] Other
</t>
  </si>
  <si>
    <t>High impact dev advocate with real experience and extensive verified records. QWeak on direct code contribution but very strong on community reach and content creation.</t>
  </si>
  <si>
    <t>Heiwa: Leading a Team, Shipping a Product, Building a Community
As Engineering Lead for Heiwa, an AI-powered household logistics app, I lead a team of 5 engineers building something that genuinely improves people's lives—reducing family coordination load through intelligent scheduling, planning, and reminders. I was promoted to this role post-MVP for demonstrating strong ownership, technical skill, and team leadership.
What I Built:
- Magic Intake Pipeline: Designed and deployed a multimodal document parsing system (Claude + OCR + PDF/URL scraping) that achieves 74% extraction accuracy at 20s average inference—transforming unstructured family paperwork into structured data.
- Skills Tagging Backend: Built an extracurricular classification system (Claude + Gemini-as-Judge) achieving 90% accuracy at sub-2s inference, enabling personalized activity recommendations for families.
- Production Infrastructure: Deployed microservices on Supabase, Render, and Vercel, while handling task delegation, PR reviews, cost analysis, and scalability modeling for the private pilot phase.
Why This Matters for My Ambassadorship:
Heiwa isn't just a technical achievement—it's proof that I can:
1) Lead and mentor a team of engineers, delegating tasks and reviewing code
2) Ship production-grade AI that solves real problems for real people
3) Balance technical excellence with practical constraints (cost, latency, scalability)
4) Build systems that are inclusive—family logistics affects everyone, and AI should work for everyone
As an Ambassador, I'll bring this same leadership, mentorship, and practical problem-solving approach to the PyTorch community. I know how to organize a team, deliver results, and create technology that matters—and I'm ready to do the same for PyTorch in Egypt and beyond.</t>
  </si>
  <si>
    <t>tehr3emqas1m</t>
  </si>
  <si>
    <t xml:space="preserve">Tehreem Qasim
</t>
  </si>
  <si>
    <t xml:space="preserve">https://github.com/tehr3emqas1m
</t>
  </si>
  <si>
    <t xml:space="preserve">https://www.linkedin.com/in/tehreem-qasim/
</t>
  </si>
  <si>
    <t xml:space="preserve">I have carried out extensive research in Computer Vision using different deep learning models and frameworks in Pytorch. Attached are two of my published papers on camshaft defect detection and printed circuit board defect detection. Two of my recently graduated MS research students (Ms Noor Shabir and Ms Ume Kalsoom) at Institute of Information Technology, Quaid i Azam University, Islamabad worked on Brain hippocampus segmentation and wrist fracture detection respectively. They are currently working on publishing their research.
Papers links:
https://ieeexplore.ieee.org/document/10510305
https://www.spiedigitallibrary.org/journals/journal-of-electronic-imaging/volume-34/issue-1/013004/Zero-Shot-Defect-Feature-Optimizer--an-efficient-zero-shot/10.1117/1.JEI.34.1.013004.short
</t>
  </si>
  <si>
    <t xml:space="preserve">I am an academic and am currently serving as an Assistant Professor at the Institute of Information Technology, Quaid i Azam University, Islamabad, Pakistan since October 2024. At IIT, QAU, I teach different courses to BS IT and MS/PhD IT students. Prior to this I served at the Department of Robotics and Artificial Intelligence at the SZABIST University, Islamabad, Pakistan where I taught to BS AI and MS Data Science students. I have supervised several MS research and BS Final year students.
I have a deep passion for computer programming and Machine Learning. In the Machine Learning and Deep Learning courses (Computer Vision, ANNs, Deep Learning, NLP, MLOPs etc) that I teach to undergraduate and graduate students, I passionately guide them through practical, hands-on projects and encourage them to continue developing their practical ML coding skills, particularly with PyTorch. I emphasize the importance of implementing models, understanding the underlying mechanics, and experimenting with real-world datasets. Many of my students have gone on to pursue research or industry roles where PyTorch is their primary framework, and I take pride in fostering their growth as independent learners and contributors to the open-source community.
I have also conducted Machine Learning boot camps for industry professionals and have done many workshops at different universities in Islamabad. Becoming a PyTorch Foundation Ambassador will be a great confidence boost for me and it will enable me to train the young minds with even more zeal and vigor.
</t>
  </si>
  <si>
    <t xml:space="preserve">I am support and grow PyTorch Foundation projects and communities by:
Organizing community events
Mentoring contributors
Educational outreach
Technical advocacy
Supporting local or global AI communities
I will hold workshops at Quaid i Azam University and other universities in Pakistan where my focus will be on developing hands on skills of the undergrad and graduate students.
</t>
  </si>
  <si>
    <t>I organized the first ever ZAB AI CUP annual AI coding competition in which various universities from Pakistan participate. 
The event was a great success and has been held annually ever since. 
I am the one on the right in the photo receiving the organizer shield.
https://web.facebook.com/photo/?fbid=686503856929399&amp;set=pcb.686512166928568
More details here:
https://web.facebook.com/share/p/1AQcyng82k/
https://www.instagram.com/reel/C1ZRGbNsX8L/?utm_source=ig_web_copy_link&amp;igsh=NTc4MTIwNjQ2YQ==</t>
  </si>
  <si>
    <t>Dahousan</t>
  </si>
  <si>
    <t xml:space="preserve">Dahou Noureddine
</t>
  </si>
  <si>
    <t xml:space="preserve">Casablanca,Morocco
</t>
  </si>
  <si>
    <t xml:space="preserve">https://github.com/Dahousan
</t>
  </si>
  <si>
    <t xml:space="preserve">The "5+ years" claim doesn't add up. GitHub account was created in July 2023, which is under 3 years. Has checked "Open source contributions" as a contribution type but has zero PRs to any project on GitHub. There are real academic publications, but nothing that connects to PyTorch community work specifically. The ambassador plan reads like a template. no concrete details at all. Teaching ML courses is somewhat valuable work, 
</t>
  </si>
  <si>
    <t xml:space="preserve">https://www.linkedin.com/in/dahounoureddine/
</t>
  </si>
  <si>
    <t xml:space="preserve">- [ ] Open source contributions
- [ ] Technical content creation
- [ ] Community leadership
- [x] Events or workshops
- [x] Research or academic work
- [ ] Mentorship
- [ ] University or student outreach
- [ ] Translation or localization efforts
- [ ] Other
</t>
  </si>
  <si>
    <t xml:space="preserve">Nominee Contributions to the PyTorch Ecosystem
As a Research Intern at the Laboratory of Data Engineering and Intelligent Systems, Hassan II University of Casablanca, I actively contribute to the advancement of Artificial Intelligence and Machine Learning education, research, and community engagement through the practical use of PyTorch in academic and research environments.
**Research and Technical Contributions**
&lt;img width="800" height="1000" alt="Image" src="https://github.com/user-attachments/assets/308a01d1-10dd-4c2c-abd0-ec8961380d19" /&gt;
&lt;img width="2048" height="1152" alt="Image" src="https://github.com/user-attachments/assets/a81fecfc-6f53-4fb3-915f-6df33b07210e" /&gt;
&lt;img width="800" height="996" alt="Image" src="https://github.com/user-attachments/assets/b991bb0e-540b-496f-b98b-12cedb0a47ea" /&gt;
&lt;img width="800" height="1000" alt="Image" src="https://github.com/user-attachments/assets/ae3cc71d-e8aa-430e-bbcd-256e04279671" /&gt;
&lt;img width="800" height="800" alt="Image" src="https://github.com/user-attachments/assets/b6dcec2b-35bc-40ba-b737-ee09b689db1f" /&gt;
&lt;img width="800" height="1000" alt="Image" src="https://github.com/user-attachments/assets/fa04419c-8f4c-4a39-a2fc-00a401004a82" /&gt;
&lt;img width="1080" height="1350" alt="Image" src="https://github.com/user-attachments/assets/0e55ce21-fe1d-40a1-97d2-14a8d5661f8d" /&gt;
&lt;img width="800" height="533" alt="Image" src="https://github.com/user-attachments/assets/253a8622-31f4-4573-89ab-5b72ff3ce76b" /&gt;
&lt;img width="1080" height="1350" alt="Image" src="https://github.com/user-attachments/assets/aaf40d23-8634-4a13-bf93-2a86111c9299" /&gt;
[DraftPaper4.pdf](https://github.com/user-attachments/files/29063961/DraftPaper4.pdf)
My research focuses on Artificial Intelligence, Machine Learning, Intelligent Transportation Systems, and Digital Twin technologies. PyTorch serves as one of the primary frameworks used in my experimentation and model development activities.
My technical contributions include:
* Developing and evaluating machine learning models for intelligent transportation and mobility analysis.
* Applying deep learning methodologies to support Digital Twin research and smart city applications.
* Integrating AI workflows with large-scale simulation environments to improve data-driven decision-making.
* Designing reproducible experimental pipelines that facilitate research collaboration and knowledge sharing.
* Supporting the adoption of modern AI tools and open-source technologies within academic research projects.
Through these activities, I help bridge the gap between theoretical research and practical AI implementation.
## Community Leadership and Educational Impact
Beyond research, I am actively involved in the IEEE Student Branch at Hassan II University, where I contribute to the organization and promotion of technical and educational initiatives that support student learning and professional development.
My involvement includes contributing to the preparation, coordination, and execution of:
* Technical workshops and training sessions.
* AI and Machine Learning educational events.
* Research-oriented seminars and webinars.
* Conferences and distinguished lecture series.
* Community outreach and student engagement initiatives.
* Technology awareness campaigns focused on emerging fields such as Artificial Intelligence, Data Science, Deep Learning, Natural Language Processing, Intelligent Systems, and Digital Technologies.
These activities provide students and young researchers with opportunities to discover advanced technologies, interact with experts, and develop practical technical skills.
## Workshops, Conferences, and Events
As an active contributor within IEEE UH2 activities, I have supported and participated in the organization of numerous events covering cutting-edge technologies and scientific research.
Examples include:
* Artificial Intelligence and Machine Learning workshops.
* Foundations of Language Models and Natural Language Processing educational sessions.
* Research and innovation events connecting students with researchers and industry professionals.
* Distinguished lectures delivered by international experts.
* Technical webinars addressing emerging trends in AI, engineering, and digital transformation.
* Community-building initiatives that encourage student participation in technology and research.
These events collectively reached students, researchers, and technology enthusiasts from diverse academic backgrounds while promoting continuous learning and innovation.
## Mentorship and Knowledge Sharing
A significant part of my contribution involves supporting fellow students and young researchers in their learning journey.
This includes:
* Assisting students in understanding machine learning and deep learning concepts.
* Providing guidance on the practical use of PyTorch for AI projects.
* Supporting research projects involving data analysis, model development, and experimentation.
* Encouraging the adoption of open-source practices and reproducible research methodologies.
* Sharing technical knowledge through discussions, collaborative projects, and educational activities.
## Open Source and Academic Initiatives
In addition to AI research, I contribute to open-source and academic technology projects related to:
* Data engineering and data management platforms.
* Research data collection and processing systems.
* Educational technology initiatives.
* AI-powered analytical workflows.
* Scientific data infrastructure supporting researchers and students.
These projects aim to improve access to technology, research resources, and practical learning opportunities.
## Advocacy for Open-Source AI
I actively promote the use of open-source technologies within academic and student communities. Through research activities, technical events, and peer support, I encourage students to explore PyTorch and other open-source AI tools as accessible platforms for innovation, experimentation, and scientific research.
## Supporting Links
IEEE Student Branch Hassan II University:
https://www.linkedin.com/company/ieee-sudent-branch-hassan-2-university/
IEEE UH2 Official Website:
https://ieeeuh2.tech/
## Impact
* Contributed to the organization and promotion of multiple workshops, webinars, conferences, and educational activities.
* Supported students and researchers through mentorship and technical guidance.
* Promoted AI and Machine Learning education within the university community.
* Facilitated knowledge sharing on PyTorch, Deep Learning, and modern AI technologies.
* Contributed to research projects applying AI to real-world challenges in transportation, data science, and intelligent systems.
Through research, education, mentorship, and community engagement, I continue to promote the adoption of PyTorch and open-source AI technologies while helping students and researchers develop practical skills in Machine Learning and Deep Learning.
</t>
  </si>
  <si>
    <t xml:space="preserve">I want to become a PyTorch Foundation Ambassador because I believe that open-source AI has the power to make advanced technology more accessible, collaborative, and impactful for students, researchers, and developers around the world.
Throughout my academic and research journey, PyTorch has been one of the most valuable tools for learning, experimentation, and innovation. It has enabled me to work on research projects in artificial intelligence, machine learning, intelligent transportation systems, and digital twin technologies while helping me transform ideas into practical solutions.
As an active member of the IEEE Student Branch at Hassan II University and a research intern at the Laboratory of Data Engineering and Intelligent Systems, I have had the opportunity to support workshops, conferences, educational initiatives, and community events that promote emerging technologies. These experiences showed me the importance of knowledge sharing and community-driven learning.
By becoming a PyTorch Foundation Ambassador, I aim to expand these efforts by organizing educational activities, creating learning resources, mentoring students, and helping more people discover and contribute to the PyTorch ecosystem. I want to strengthen connections between academia, research communities, and open-source contributors, particularly in regions where access to advanced AI education and mentorship opportunities remains limited.
My goal is not only to advocate for PyTorch as a leading deep learning framework but also to help build an inclusive and collaborative community where students, researchers, and developers can learn, innovate, and contribute together. I believe the Ambassador program would allow me to amplify my impact, support the growth of the PyTorch ecosystem, and inspire the next generation of AI practitioners and open-source contributors.
</t>
  </si>
  <si>
    <t xml:space="preserve">**I WILL DO EVERYTHING**
As a PyTorch Foundation Ambassador, I would focus on expanding access to AI education, strengthening local AI communities, and helping more students and researchers engage with the PyTorch ecosystem.
Drawing on my experience as a researcher and my involvement with the IEEE Student Branch at Hassan II University, where I contribute to the organization of workshops, technical talks, webinars, conferences, and educational initiatives, I would leverage these platforms to promote PyTorch and open-source AI technologies to a broader audience. The IEEE Student Branch regularly organizes technical activities, workshops, competitions, lectures, and community events that connect students with researchers and industry professionals, providing an ideal environment for knowledge sharing and community growth.
As an Ambassador, I would:
* Organize PyTorch-focused workshops, tutorials, and hands-on training sessions for students, researchers, and developers.
* Create educational content, technical guides, and learning resources that make PyTorch more accessible to beginners and intermediate practitioners.
* Mentor students and early-career researchers working on machine learning, deep learning, and AI projects.
* Promote best practices in open-source collaboration and encourage contributions to PyTorch Foundation projects.
* Advocate for the adoption of PyTorch in academic research, student projects, and innovation initiatives.
* Foster connections between universities, research laboratories, IEEE communities, and the broader PyTorch ecosystem.
* Support local AI communities in Morocco and Africa by creating opportunities for learning, collaboration, and technical exchange.
* Contribute to community-building efforts through conferences, webinars, technical discussions, and outreach activities.
My long-term goal is to help build a stronger and more inclusive AI community where students, researchers, and developers can learn, collaborate, and contribute to open-source innovation. By combining research, education, mentorship, and community engagement, I hope to increase the visibility and adoption of PyTorch while empowering the next generation of AI practitioners and contributors.
</t>
  </si>
  <si>
    <t xml:space="preserve">Morocco
</t>
  </si>
  <si>
    <t>Chaitanya-Kk</t>
  </si>
  <si>
    <t xml:space="preserve">Chaitanya Abhijeet Kamble 
</t>
  </si>
  <si>
    <t>Good contributor froma very underserved region. Used PyTorch to work on low resource language projects. Africa is 2026 priority and this is a great candidate with real community presence.</t>
  </si>
  <si>
    <t xml:space="preserve">Pune, Maharashtra, India 
</t>
  </si>
  <si>
    <t xml:space="preserve">https://github.com/Chaitanya-Kk
</t>
  </si>
  <si>
    <t xml:space="preserve">Verified PyCon US 2026 speaker (Spanish-language NLP talk). Strong communication skills and initiative, especially from Bolivia a Latin American country in the 2026 priority regions. However, virtually no engagement with PyTorch Foundation projects: zero GitHub contributions, zero PyTorch repos, all 33 repos are web/mobile projects. Ambassador plan is well-structured but would require significant growth in actual PyTorch knowledge. Regional value is real; technical foundation is currently lacking.
</t>
  </si>
  <si>
    <t xml:space="preserve">https://www.linkedin.com/in/chaitanya-kamble19
</t>
  </si>
  <si>
    <t xml:space="preserve">Chaitanya Kamble is the Founder of Artificial Intelligence Developer Network (AIDN) Pune, a rapidly growing AI-focused developer community with 2300+ members across platforms.
He has actively contributed to the PyTorch ecosystem through applied deep learning projects, research work, and community-led education. His work includes building models using PyTorch for real-world problems such as speech delay prediction (CNN/CRNN architectures) and contributing to AI research, including a published paper on wildfire detection using deep learning frameworks.
As a community leader, he has organized and led multiple AI-focused events, hackathons, and workshops, engaging hundreds of students and developers. Through AIDN and previous roles (AISF VIT Pune), he has:
- Organized large-scale hackathons and technical events with 200+ participants
- Conducted AI/ML workshops and sessions introducing deep learning concepts
- Collaborated with industry experts including Google Developer Experts (GDEs)
- Built a strong student-developer ecosystem focused on practical AI development
His contributions extend to mentorship, where he actively guides students in AI/ML projects and encourages adoption of frameworks like PyTorch for real-world problem solving.
Supporting Links:
- GitHub: https://github.com/Chaitanya-Kk
- Community: https://linktr.ee/aidn_pune
- Event/Meetup: https://www.meetup.com/pune-new-technology-meetup-group 
- Commudle (2200+ Members) : https://www.commudle.com/communities/aisf-vit-pune
</t>
  </si>
  <si>
    <t xml:space="preserve">My motivation to become a PyTorch Foundation Ambassador stems from my vision to build a strong, developer-first AI ecosystem in Pune and beyond.
Through my experience leading AIDN Pune, I have seen a significant gap between theoretical AI knowledge and practical deep learning implementation. PyTorch, being one of the most accessible and widely used frameworks, plays a critical role in bridging this gap.
I want to leverage the Ambassador role to:
- Enable more developers and students to build real-world AI systems using PyTorch
- Create structured learning pathways from beginner to advanced deep learning
- Bring industry-relevant AI education to emerging developer communities
This role aligns perfectly with my ongoing efforts in community building, technical education, and AI adoption at scale.
</t>
  </si>
  <si>
    <t xml:space="preserve">As a PyTorch Foundation Ambassador, Chaitanya Kamble would focus on building a structured, scalable PyTorch ecosystem through AIDN Pune, targeting students and early-stage developers transitioning into applied AI.
His contribution would include:
1. Community Events &amp; Workshops  
He will organize quarterly PyTorch-focused workshops covering fundamentals to advanced topics such as computer vision, NLP, and real-world model building. Additionally, he plans to launch a flagship annual “PyTorch Day Pune” to bring together developers, researchers, and industry experts.
2. Technical Education &amp; Learning Pathways  
He will design structured learning tracks enabling developers to progress from beginner to production-level deep learning systems using PyTorch. These will include hands-on sessions on CNNs, sequence models (CRNN/LSTM), and model deployment.
3. Mentorship &amp; Developer Growth  
He will actively mentor students and developers working on AI/ML projects, helping them build real-world applications using PyTorch and guiding them toward open-source contributions and research.
4. Ecosystem &amp; Community Expansion  
Through AIDN Pune (2300+ members), he will expand regional engagement by collaborating with universities, industry experts, and other tech communities to increase PyTorch adoption and participation.
5. Content &amp; Advocacy  
He will create and promote high-quality technical content, workshops, and project showcases to improve accessibility and awareness of PyTorch among emerging developer communities.
Through these initiatives, he aims to significantly increase PyTorch adoption, foster hands-on AI development, and build a strong, self-sustaining developer ecosystem in Pune and beyond.
</t>
  </si>
  <si>
    <t xml:space="preserve">- [x] Community Building
- [x] Technical Education
- [ ] Open Source Contributions
- [ ] Research &amp; Academia
- [x] Developer Advocacy
- [x] Mentorship
- [x] Events &amp; Workshops
- [x] Content Creation
- [x] Regional Community Growth
- [ ] Other
</t>
  </si>
  <si>
    <t>Reviewer 08 — Applications &amp; Scoring</t>
  </si>
  <si>
    <t xml:space="preserve">Very strong communicator and content creator with verified reach across freeCodeCamp, ODSC, AI conferences. Ray ecosystem advocacy at Anyscale is genuine. However, significant concerns about claim accuracy: Zero code PRs to pytorch/pytorch, ray-project/ray, or any Foundation project; Fork counts don't match verifiable data (DeepSeek: claimed 38 forks, actual 16); Corporate DevRel metrics presented as personal achievements. Communication strengths are real, but slightly inflated
</t>
  </si>
  <si>
    <t>good application from a EMNLP co-author using PyTorch. Middle East is a 2026 priority and arabic langugage ontent addresses a genuine gap. but not enough community leadership experience.</t>
  </si>
  <si>
    <t>valid999</t>
  </si>
  <si>
    <t xml:space="preserve">Waleed Gomaa Soliman Mahmoud Eid
</t>
  </si>
  <si>
    <t xml:space="preserve">https://github.com/valid999
</t>
  </si>
  <si>
    <t xml:space="preserve">https://www.linkedin.com/in/waleed-eid-a6476323b/
</t>
  </si>
  <si>
    <t xml:space="preserve">https://x.com/valid9999
</t>
  </si>
  <si>
    <t xml:space="preserve">- [ ] Open source contributions
- [ ] Technical content creation
- [ ] Community leadership
- [ ] Events or workshops
- [x] Research or academic work
- [ ] Mentorship
- [x] University or student outreach
- [x] Translation or localization efforts
- [ ] Other
</t>
  </si>
  <si>
    <t xml:space="preserve">I have always contributed to the broader PyTorch ecosystem through applied research, open-source development, educational content creation, and community knowledge sharing focused on deep learning and AI systems. 
My work included the development of computer vision, Natural language processing, and machine learning projects built using PyTorch and related open-source AI frameworks. During my research activities at South Ural State University, he participated in machine vision and industrial automation projects that leveraged deep learning methodologies for real-world deployment. These projects involved model development, experimentation, optimization, and evaluation for computer vision applications.
In addition to research contributions, Waleed has development and shared multiple AI and deep learning projects publicly through GitHub, Hugging Face, Kaggle, and Youtube. These resources help students, researchers, and practitioners learn practical applications of deep learning technologies, including model fine-tuning, deployment workflows, computer vision systems, and large language model applications. 
Notable Pytorch-related contributions include: 
Development of computer vision systems using deep learning techniques for object detection, lane tracking, and autonomous navigation applications. 
Fine-tuning and deployment of transformer-based language models, including Llama and BERT, using PyTorch based ecosystems and Hugging Face Tooling. 
Publication of machine learning and AI projects through open-source repositories to support reproducibility and community learning. 
Supporting Links:
GitHub Repository Collection:
https://github.com/valid999
Hugging Face Profile:
https://huggingface.co/valid999
Kaggle Profile:
https://www.kaggle.com/waleedgamaa
YouTube Educational Content:
https://www.youtube.com/@waleedeid2713/videos
LinkedIn Professional Activities:
https://linkedin.com/in/waleed-eid-a6476323b
Research and Machine Vision Project:
https://github.com/valid999
</t>
  </si>
  <si>
    <t xml:space="preserve">I want to join the PyTorch community for several reasons, but the main one I believe that open-source AI communities play a critical role in advancing innovation, education, and real-world impact. 
Throughout my academic, research, and professional journey, PyTorch has been one of the most important tecnologies enabling me to develop computer vision system, fine-tune large language models, and build practical AI solutions for industry applications. 
As an AI researcher and engineer with background in Robotics, Machine Learning. I have seen firsthand how accessible tools like Pytorch empower students, researchers, Professors, and developers to transform ideas into working solutions. My experience spans machine vision research, autonomous systems, deep learning projects, and large language model development, where PyTorch has consistently been at the core of experimentation and deployment. 
</t>
  </si>
  <si>
    <t xml:space="preserve">As a PyTorch Foundation Ambassador, I would focus on three key objectives: 
1. Expanding AI Education and Accessibility: I am passionate about helping students and early-career professionals learn AI through practical, hands-on projects. I regularly share technical content, open-source projects, and educational resources through GitHub, Hugging Face, Kaggle, LinkedIn, and YouTube. As an Ambassdor, I would create additional tutorials, workshops, and learning materials that make PyTorch more accessible to diverse global audiences, particularly in regions where access to advanced AI education is limited, also I am a native Arabic speaker with limited work proficiency in Russian language all this will contribute and assist me of helping more students from different background. 
2. Building and Supporting Community Growth
I believe strong communities are built through mentorship, collaboration, and knowledge sharing. I aim to support learners by answering questions, sharing best practices, and helping new contributors navigate the PyTorch ecosystem. I would actively encourage participation from students, researchers, and professionals interested in machine learning, robotics, computer vision, and AI security.
3. Promoting Innovation at the Intersection of AI and Security
My long-term research interests include secure AI systems, cyber-physical systems, robotics, and AI-driven cybersecurity. As an Ambassador, I would advocate for responsible and secure AI development while showcasing how PyTorch can be used to solve complex challenges in industrial automation, intelligent systems, and cybersecurity applications.
Note that: PyTorch was the first platform I used and learned for deep learning since the first day of learning the framework, I decided to major in AI&amp;Robotics.
</t>
  </si>
  <si>
    <t>Application provides no evidence of engagement with PyTorch Foundation projects or communities. Zero contributions, zero followers. Application responses are 3-8 words each with no supporting links. Claims "open source contributions" and "events or workshops" but provides no evidence for either. Does not meet minimum threshold for consideration.</t>
  </si>
  <si>
    <t xml:space="preserve">- [x] Community Building
- [x] Technical Education
- [x] Open Source Contributions
- [x] Research &amp; Academia
- [ ] Developer Advocacy
- [ ] Mentorship
- [ ] Events &amp; Workshops
- [ ] Content Creation
- [ ] Regional Community Growth
- [ ] Other
</t>
  </si>
  <si>
    <t>I bring a combination of applied AI research, open-source project work, technical content sharing, and community-facing education that I believe aligns well with the PyTorch Foundation’s mission. My background includes deep learning, computer vision, LLM fine-tuning, and model deployment, with PyTorch listed among my core AI/ML tools.
My recent work includes a machine vision project with South Ural Research Industrial Lab, where I contributed to a real-world industrial AI initiative and documented the work publicly on GitHub. I also developed a self-driving car system using CNN and YOLOv8 for object detection, lane tracking, and obstacle avoidance, achieving 95% accuracy in dynamic environments.
In addition, I fine-tuned and deployed Llama and BERT models for text generation and classification using Hugging Face and Streamlit, and I have shared related work through public platforms including GitHub, Hugging Face, Kaggle, and YouTube. These channels serve as supporting resources for learners and practitioners exploring practical AI workflows.
Supporting links:
https://github.com/valid999
https://huggingface.co/valid999
https://www.youtube.com/@waleedeid2713/videos
https://www.kaggle.com/waleedgamaa
https://public.tableau.com/app/profile/waleed.eid</t>
  </si>
  <si>
    <t>community impact is limited tho a real applicant with pytorch usage evidence. Middle East is a  priority region so putting on boderline.</t>
  </si>
  <si>
    <t>Tech-Psycho95</t>
  </si>
  <si>
    <t xml:space="preserve">Shivam Singh
</t>
  </si>
  <si>
    <t xml:space="preserve">Bengaluru, INDIA
</t>
  </si>
  <si>
    <t xml:space="preserve">https://github.com/Tech-Psycho95
</t>
  </si>
  <si>
    <t xml:space="preserve">https://linkedin.com/in/shivam-singh-a879602ba
</t>
  </si>
  <si>
    <t xml:space="preserve">https://x.com/ShivamJ255
</t>
  </si>
  <si>
    <t>Solid academic profile with genuine ML/DL research (275 citations, h-index 5). Community mentorship through AI Saturday and Black in AI is plausible. However, zero evidence of direct contribution to PyTorch Foundation projects. GitHub shows only coursework-level projects.</t>
  </si>
  <si>
    <t xml:space="preserve">My work in the PyTorch ecosystem encompasses applied project development, technical content creation, open-source contributions, and community education, with the main goal of making PyTorch-based tooling accessible to students and developers in underserved regions of India.
 Applied Project: KhetAI
KhetAI is an offline crop disease diagnostic tool built for Indian farmers, developed during the Gemma 4 Good Hackathon 2026. The system runs Gemma 4 E4B - a PyTorch-native model - locally via Ollama, served through a FastAPI backend with multilingual output in Hindi, Kannada, Tamil, and Telugu. Building this required hands-on work with PyTorch model inference, CPU-optimized deployment, and tokenization pipelines for low-resource languages. The project was designed for farmers with no internet connectivity - a real-world constraint that pushed me to understand how PyTorch-based models behave under hardware limitations
[Khet-AI](https://github.com/Tech-Psycho95/KhetAI)
---
 Technical Content: [dev.to](https://dev.to/shastraa_430)
Writing technical articles on dev.to targeting developers &amp; CS undergrads learning applied ML. [dev.to](https://dev.to/shastraa_430) Recent posts include a deep-dive into Gemma 4 model architecture (a PyTorch-native model family) and a full build walk-through of KhetAI covering model selection, inference setup and deployment - written to be accessible to students who have studied ML theory but never deployed a real model.
Article 1 - "No Internet? No Problem. How I Built a Crop Disease Detector for Rural India"
[Article-1](https://dev.to/shastraa_430/no-internet-no-problem-how-i-built-a-crop-disease-detector-for-rural-india-5284)
A full build walkthrough of KhetAI - covering model selection rationale (why Gemma 4 E4B over E2B or 31B Dense), FastAPI backend architecture, multimodal inference with base64 image encoding, structured JSON output via system prompt engineering, and offline deployment constraints for rural India. Written to be accessible to students who understand ML theory but have never shipped a real model. The piece generated community responses highlighting it as "high-impact engineering" specifically because it addresses real livelihood problems rather than benchmark tasks.
Article 2 - "E2B? E4B? 26B A4B? 31B? The Gemma 4 Model Names Finally Explained"
[Article-2](https://dev.to/shastraa_430/e2b-e4b-26b-a4b-the-gemma-4-model-names-finally-explained-2hjb)
A deep technical explainer on Gemma 4's model architecture - covering Mixture of Experts vs Dense transformers, Per-Layer Embeddings, hybrid attention mechanisms, Proportional RoPE for long-context scaling, and variable-resolution vision tokenization. Includes a full practical setup guide (Ollama pull commands, Python inference code for text and multimodal inputs, temperature selection for different task types). Written from the perspective of someone who made every mistake first — a deliberate choice to lower the barrier for developers encountering these models for the first time
 Open-Source Contributions: GitHub
Active open-source contributor through JWOC (JGEC Winter of Code) &amp; OSCG'26 &amp; independent projects, with contributions spanning AI tooling and software infrastructure. Currently deepening PyTorch-specific contributions alongside my applied project work.
[Github](https://github.com/Tech-Psycho95)
</t>
  </si>
  <si>
    <t xml:space="preserve">My path to this application runs through a single day in Bengaluru
Attended PyTorch Day India 2026 (7th February, Bengaluru - Hosted by PyTorch Foundation with IBM, Red Hat and NVIDIA) as an attendee. It was a different kind of learning than anything in a classroom or a tutorial, to walk into a room full of researchers, engineers and open-source contributors actively shaping the tools I use every day &amp; for my projects. One session which grew my curiosity more &amp; also made me fill this application was ``Why Speech Recognition Is Becoming an LLM Problem`` which was given by Abhigyan Raman who is a founding engineer at Sarvam ai
---
I'm currently studying in Bengaluru, but I grew up in Varanasi and the contrast is stark. PyTorch Day showed me what a thriving, connected ML community looks like. Most students back home, and across Tier-2 India broadly, learn deep learning from YouTube videos and pray the library imports work. There is no local PyTorch community, no meetup, no one to ask why their loss isn't converging. The gap between what I experienced at PyTorch Day India and what exists for students in those regions is the exact gap I want to close as an Ambassador.
---
My work on KhetAI - an offline crop disease diagnostic tool for Indian farmers built on a PyTorch-native model, deployed without internet in rural areas - taught me that the real barrier to AI adoption in India isn't capability, it's access: access to knowledge, to community, and to someone who has already made all the mistakes. That's what I want to be for the next cohort of students here.
---
The Ambassador Program is the structure that lets me do that at scale - organizing local PyTorch sessions, creating content grounded in real Indian deployment constraints, and connecting students in this region to the global community I got a glimpse of in February
</t>
  </si>
  <si>
    <t xml:space="preserve">As a PyTorch Ambassador I would focus on three areas of concrete impact:
1. Community building in tier-2 India: I would run quarterly PyTorch workshops for students in Varanasi and nearby regions - populations who rarely get exposure to state-of-the-art ML tooling. I want to close that gap, many students here learn ML theory but never touch a real training loop.
2. Technical content creation: I would publish structured PyTorch tutorials and project walkthroughs on dev.to and GitHub targeting Indian CS undergrads - covering topics like model deployment with FastAPI, multilingual NLP pipelines, and offline inference - content that currently has very little representation in Indian regional languages and contexts.
3. Open-source Contribution &amp; Peer Learning: As a Campus Lead and JWOC mentee, I would introduce PyTorch to my fellow classmates - running sessions, sharing resources, and collaborating on real PyTorch projects together.
My motivation is simple: ``I believe intelligent systems should work for all, especially communities that need them the most``. My first attempt to prove that was KhetAI. The Ambassador role would allow me to scale that mission
</t>
  </si>
  <si>
    <t>Great candidate with official PyTorch blog and creates Executorch educational content. High quality work.</t>
  </si>
  <si>
    <t xml:space="preserve">- [x] Community Building
- [x] Technical Education
- [x] Open Source Contributions
- [ ] Research &amp; Academia
- [ ] Developer Advocacy
- [ ] Mentorship
- [x] Events &amp; Workshops
- [x] Content Creation
- [ ] Regional Community Growth
- [ ] Other
</t>
  </si>
  <si>
    <t>I am actively participating in international AI hackathons (including the MIT-backed Hack-Nation 5th Global AI Hackathon) and have applied to EleutherAI's SOAR interpretability research program. I am building toward a career in applied AI engineering and believe that the Ambassador Program aligns closely with my trajectory of building, teaching, and connecting people to meaningful AI tools</t>
  </si>
  <si>
    <t>Shows early PyTorch project work and peer knowledge sharing, with a plausible student-focused workshop plan. Evidence of sustained PyTorch-specific contribution, delivered education, and measurable outcomes is still limited.</t>
  </si>
  <si>
    <t>Genuine background in internet governance and community building (ICANN Fellow, African Union). However, claims familiarity with PyTorch, vLLM, Ray, and Safetensors while having zero evidence of using any of them. GitHub has only 9 repos (mostly Java Android apps), 3 followers, 1 self-PR. Applicant lacks the PyTorch technical foundation to serve as an effective Ambassador.</t>
  </si>
  <si>
    <t>Great community builder. Working in middle East and has high engagement through community.</t>
  </si>
  <si>
    <t xml:space="preserve">GitHub account is less than 8 months old with 2 followers and no ML/PyTorch repos. Checked nearly every contribution type checkbox without supporting evidence, the applicant needs significantly more experience before being considered. 
</t>
  </si>
  <si>
    <t>Zero PyTorch work and no verifiable claims. Should be rejected.</t>
  </si>
  <si>
    <t>srimonishan</t>
  </si>
  <si>
    <t xml:space="preserve">Sri Monishan Robert Kumar
</t>
  </si>
  <si>
    <t xml:space="preserve">Colombo, Sri Lanka
</t>
  </si>
  <si>
    <t xml:space="preserve">github.com/srimonishan
</t>
  </si>
  <si>
    <t xml:space="preserve">https://www.linkedin.com/in/sri-monishan-robert-kumar/
</t>
  </si>
  <si>
    <t xml:space="preserve">https://x.com/srimonishan_rm
</t>
  </si>
  <si>
    <t xml:space="preserve">- [x] Open source contributions
- [x] Technical content creation
- [x] Community leadership
- [x] Events or workshops
- [x] Research or academic work
- [ ] Mentorship
- [x] University or student outreach
- [x] Translation or localization efforts
- [x] Other
</t>
  </si>
  <si>
    <t xml:space="preserve">I am an Artificial Intelligence undergraduate at NSBM Green University, Sri Lanka, and an active community builder dedicated to expanding access to AI, machine learning, cloud computing, and open-source technologies.
My contributions span community leadership, technical education, student outreach, hackathon participation, content creation, mentorship, and AI advocacy. I currently serve as Vice President of the NSBM Artificial Intelligence Association, AWS Student Community Leader, Marketing &amp; Sponsorship Lead at AI Collective Sri Lanka, and actively contribute to multiple technology communities across South Asia.
Over the past several years, I have organized, supported, and promoted numerous technical events, workshops, hackathons, networking sessions, and educational initiatives focused on AI, machine learning, cloud computing, developer technologies, and emerging innovations. Through these efforts, I have helped connect students with industry experts, researchers, founders, and open-source communities.
I am an active participant in hackathons and innovation challenges, achieving recognition including first runner-up and second runner-up placements in competitive technology events. These experiences have strengthened my practical skills in AI application development, teamwork, rapid prototyping, and technical problem solving.
My technical work includes building AI-powered projects such as AI image generation applications, AI voice generation tools, machine learning experiments, web-based AI solutions, and educational technology projects. I regularly share technical insights, learning resources, event highlights, and AI-related content through professional and community platforms to help students stay informed about developments in artificial intelligence.
Community Impact:
* Active leadership roles in multiple AI and cloud communities.
* Participation in 100+ technology, AI, cloud, startup, and developer events.
* Outreach and engagement across thousands of students and developers.
* Mentoring and supporting students interested in AI, machine learning, cloud technologies, and open source.
* Organizing and promoting workshops, hackathons, and educational initiatives.
* Supporting collaboration between universities, industry professionals, and technology communities.
Supporting Links:
LinkedIn:
https://www.linkedin.com/in/sri-monishan-robert-kumar/
GitHub:
https://github.com/srimonishan
Personal Website:
https://srimonishan.com/
Through my leadership, technical projects, educational initiatives, and community engagement efforts, I aim to make AI and machine learning education more accessible while helping students discover opportunities to learn, build, and contribute within the global open-source ecosystem.
</t>
  </si>
  <si>
    <t xml:space="preserve">I want to become a PyTorch Foundation Ambassador because I believe open-source AI communities play a critical role in making machine learning education accessible to everyone. PyTorch has become one of the most influential frameworks in modern artificial intelligence, powering research, education, and innovation across the world.
As a student leader and community organizer, I have seen firsthand how access to high-quality learning resources, mentorship, and collaborative communities can transform the learning journey of aspiring AI practitioners. My goal is to help bridge the gap between students, researchers, developers, and industry professionals by creating opportunities for learning, experimentation, and contribution.
I am particularly passionate about expanding awareness of PyTorch and machine learning technologies among students in Sri Lanka and across South Asia. By becoming a PyTorch Foundation Ambassador, I hope to connect local communities with the global PyTorch ecosystem, promote open-source collaboration, and inspire more students to pursue careers in artificial intelligence and machine learning.
The Ambassador Program would allow me to combine my passion for AI education, community building, technical advocacy, and mentorship to create a lasting impact within the PyTorch ecosystem.
</t>
  </si>
  <si>
    <t xml:space="preserve">As a PyTorch Foundation Ambassador, I would focus on community growth, technical education, student engagement, and ecosystem development throughout Sri Lanka and the broader South Asian region.
My planned contributions include:
1. Community Events and Workshops
* Organize PyTorch-focused workshops, learning sessions, meetups, and technical talks.
* Conduct beginner-friendly and intermediate-level training sessions covering deep learning, computer vision, natural language processing, and generative AI.
2. Student and University Outreach
* Introduce PyTorch to undergraduate students through university societies, AI clubs, and developer communities.
* Encourage participation in open-source projects, hackathons, and collaborative learning initiatives.
3. Educational Content Creation
* Create tutorials, technical guides, project walkthroughs, and educational resources related to PyTorch and machine learning.
* Share learning pathways and practical project examples for students entering the AI field.
4. Mentorship and Community Support
* Mentor students interested in machine learning, deep learning, and AI development.
* Help community members identify learning resources, project opportunities, and pathways into open-source contribution.
5. Regional Ecosystem Growth
* Build stronger connections between local AI communities and the global PyTorch Foundation ecosystem.
* Collaborate with universities, technology organizations, startup communities, and developer groups to expand awareness of PyTorch.
My objective is to help create a sustainable and inclusive PyTorch community that empowers students, developers, educators, and aspiring researchers to learn, contribute, and innovate using open-source AI technologies.
</t>
  </si>
  <si>
    <t xml:space="preserve">- [x] Community Building
- [x] Technical Education
- [x] Open Source Contributions
- [ ] Research &amp; Academia
- [ ] Developer Advocacy
- [ ] Mentorship
- [x] Events &amp; Workshops
- [x] Content Creation
- [x] Regional Community Growth
- [x] Other
</t>
  </si>
  <si>
    <t xml:space="preserve">Sri Lanka
</t>
  </si>
  <si>
    <t>## Additional Information
 Leadership &amp; Community Impact
* DeepLearning.AI Ambassador (Sri Lanka)
* Vice President, NSBM Artificial Intelligence Association.
* AWS Student Community Leader at NSBM Green University.
* Marketing &amp; Sponsorship Lead at AI Collective Sri Lanka.
* Active contributor and leader within multiple AI, cloud, startup, and developer communities across Sri Lanka and South Asia.
* Participated in and supported more than 100+ technology, AI, cloud, startup, and developer-focused events, workshops, meetups, and conferences.
* Helped connect students, developers, founders, and industry professionals through educational and community initiatives.
 Hackathons &amp; Innovation
* Participated in numerous national and international hackathons.
* Achieved recognition including First Runner-Up and Second Runner-Up placements in competitive technology and innovation challenges.
* Organized and supported hackathons, technical competitions, and student innovation programs.
* Actively promote project-based learning and rapid prototyping among students and aspiring developers.
 Technical Projects
Developed and experimented with various AI-powered applications and solutions, including:
* AI Image Generation Applications
* AI Voice Generation Solutions
* Machine Learning and Deep Learning Projects
* Web-based AI Applications
* Educational Technology Solutions
* Cloud and AI Integrated Systems
 Content Creation &amp; Technical Advocacy
* Regularly create and share AI, machine learning, cloud, and technology-focused educational content.
* Promote open-source learning, technical education, and emerging AI technologies through community platforms and professional networks.
* Advocate for responsible AI adoption and continuous learning among students and early-career developers.
 Open Source &amp; Learning
* Active GitHub contributor and supporter of open-source technologies.
* Continuously engage with AI, machine learning, cloud, and developer ecosystems through projects, learning initiatives, and community participation.
* Strong interest in advancing open-source AI education and helping new contributors enter the ecosystem.
 Community Reach
* Engagement across thousands of students, developers, creators, and technology enthusiasts.
* Experience working with university communities, developer groups, AI organizations, and startup ecosystems.
* Passionate about building sustainable technical communities and increasing access to AI education in emerging regions.
 Supporting Links
LinkedIn:
https://www.linkedin.com/in/sri-monishan-robert-kumar/
GitHub:
https://github.com/srimonishan
Personal Website:
https://srimonishan.com/
I am committed to growing open-source AI communities, empowering students through education and mentorship, and helping expand awareness and adoption of PyTorch and related technologies throughout Sri Lanka and the broader South Asian region.
 Additional Leadership &amp; Community Impact
* **DeepLearning.AI Ambassador (Sri Lanka)** – Supporting AI education, community growth, and technical learning initiatives within the global DeepLearning.AI ecosystem.
* **Vice President, NSBM Artificial Intelligence Association** – Leading AI-focused initiatives, student engagement, technical events, workshops, and community development.
* **AWS Student Community Leader** – Building and supporting cloud and AI learning opportunities for students and aspiring developers.
* **Oracle ACE Apprentice** – Participating in Oracle's global technology and community leadership ecosystem.
* **OpenClaw Community Leader** – Contributing to community growth, technical education, collaboration, and open-source engagement.
 Community Vision
* Passionate about connecting **DeepLearning.AI, PyTorch, AWS, Oracle, NSBM Artificial Intelligence Association, and OpenClaw communities** to create stronger AI learning pathways, workshops, hackathons, open-source contribution opportunities, and community-driven innovation across Sri Lanka and South Asia.
* As a **DeepLearning.AI Ambassador** and prospective **PyTorch Foundation Ambassador**, I see a unique opportunity to connect one of the world's leading AI learning ecosystems with one of the world's most influential open-source AI ecosystems. By combining DeepLearning.AI's educational resources and learning pathways with PyTorch's practical development and open-source ecosystem, I aim to build a strong local AI community in Sri Lanka that supports learning, innovation, open-source contribution, mentorship, workshops, hackathons, and the development of future PyTorch contributors, researchers, and AI builders.</t>
  </si>
  <si>
    <t>Early-career builder actively experimenting with PyTorch (RL, LLM fine-tuning, nanoGPT). However, zero PRs to any project, zero talks/workshops, and very generic Ambassador plan. "Community Lead Intern" was a 3-month internship. Potential but needs more time building contributions and community presence.</t>
  </si>
  <si>
    <t>The application provides no evidence of PyTorch engagement, community contribution, technical communication, or an actionable Ambassador plan.</t>
  </si>
  <si>
    <t>AbraImani</t>
  </si>
  <si>
    <t>No PyTorch related substance. Active student community leader.</t>
  </si>
  <si>
    <t xml:space="preserve">Abraham Imani
</t>
  </si>
  <si>
    <t xml:space="preserve">Bukavu, South Kivu, Democratic Republic of Congo
</t>
  </si>
  <si>
    <t xml:space="preserve">https://github.com/AbraImani
</t>
  </si>
  <si>
    <t xml:space="preserve">https://www.linkedin.com/in/abraham-imani-bahati-998804318/
</t>
  </si>
  <si>
    <t xml:space="preserve">https://x.com/imanibahati0
</t>
  </si>
  <si>
    <t xml:space="preserve">## Community Leadership and Education
I am an AI/ML practitioner and community organizer based in the Democratic Republic of the Congo.
I currently serve as an Organizer at GDG on Campus UCB (Université Catholique de Bukavu) and contribute to AI and Cloud community initiatives through GDG Kivu. Through these communities, I have organized and facilitated multiple technical workshops, study jams, hackathons, and educational sessions focused on machine learning, generative AI, MLOps, and open-source technologies.
Over the last few years, I have helped students and early-career developers gain practical experience in AI by leading hands-on sessions, mentoring project teams, and supporting community-driven innovation programs.
## Technical Work
My technical work focuses on machine learning, computer vision, NLP, and healthcare AI applications.
Some projects I have contributed to include:
- AfyaSpeak, an AI-powered for 
- AuthMed, an AI-powered pharmaceutical verification and inspection platform by reduicing risk level of counterfeit drug using computer vision and OCR technologie.
- AfyaID, a digital identity solution for emergency healthcare scenarios.
- Zungumza.AI, an initiative focused on language technologies and AI resources for African languages (DRC langues options).
PyTorch has been one of the primary frameworks used in my machine learning experimentation, model development, and educational activities.
## Community Impact
Recent community activities include:
- Organizing Build with AI events and technical workshops.
- Supporting university students through mentorship and project guidance.
- Leading AI education initiatives for local developers in Eastern DRC.
- Helping community members learn practical machine learning workflows and deployment strategies.
My goal has been to increase access to high-quality AI education and open-source technologies in underrepresented regions.
 Supporting Links
- GitHub: https://github.com/AbraImani
- LinkedIn: https://www.linkedin.com/in/abraham-imani-bahati-998804318/
- GDG on Campus UCB Community where you can see recent events : https://gdg.community.dev/gdg-on-campus-universite-catholique-de-bukavu-bukavu-democratic-republic-of-the-congo/
- Pull request to a project Haystack-tutorials : https://github.com/deepset-ai/haystack-tutorials/pull/424
</t>
  </si>
  <si>
    <t xml:space="preserve">I want to become a PyTorch Foundation Ambassador because I strongly believe that open-source AI education should be accessible to everyone, regardless of geography.
As someone working with students, developers, and researchers in the Democratic Republic of the Congo, I regularly see the challenges faced by emerging AI communities, including limited access to mentorship, learning resources, and connections to global open-source ecosystems.
The Ambassador Program would allow me to bridge that gap by helping more people discover PyTorch Foundation projects, learn practical machine learning skills, and contribute back to the open-source community.
I am particularly motivated to expand opportunities for students and developers across Central and East Africa while promoting responsible and impactful AI development.
</t>
  </si>
  <si>
    <t xml:space="preserve">As a PyTorch Foundation Ambassador, I would focus on community growth, technical education, and developer engagement.
My contributions would include:
- Organizing PyTorch-focused workshops, study groups, and technical talks.
- Supporting students and new contributors who want to learn machine learning and open-source development.
- Creating educational content and tutorials around PyTorch and related Foundation projects.
- Connecting local AI communities in Central Africa with the broader global PyTorch ecosystem.
- Mentoring hackathon participants and community members building AI applications.
- Promoting open-source collaboration and encouraging contributions to PyTorch Foundation projects.
I believe there is significant potential to grow PyTorch adoption and participation across underrepresented African regions, and I would be excited to help drive that effort.
</t>
  </si>
  <si>
    <t xml:space="preserve">Democratic Republic of Congo
</t>
  </si>
  <si>
    <t xml:space="preserve"> Additional Highlights
- Organizer, GDG on Campus UCB
- Contributor to AI education and developer community initiatives in Eastern DRC
- Organizer and facilitator of Build with AI programs
- Experience mentoring students and hackathon participants
- Active in machine learning, computer vision, NLP, and healthcare AI projects
- Advocate for Research field of AI accessibility in underrepresented communities
Profiles:
- GitHub: https://github.com/AbraImani
- LinkedIn: https://www.linkedin.com/in/abraham-imani-bahati-998804318/
- X : https://x.com/imanibahati0
- Medium : https://medium.com/@imanibahati0</t>
  </si>
  <si>
    <t>Strong OSS contributor (155 PRs) but almost entirely in Arduino/embedded systems, not PyTorch. Forked pytorch/vision and pytorch/examples but never contributed upstream. Application is extremely minimal. Does not meet threshold for Ambassador role.</t>
  </si>
  <si>
    <t>madhushri-work-space</t>
  </si>
  <si>
    <t xml:space="preserve">MADHUSHRI K A
</t>
  </si>
  <si>
    <t xml:space="preserve">Tiruppur, Tamil Nadu, India
</t>
  </si>
  <si>
    <t>Early in PyTorch with some community experience. Honest application and since Pakistan is underserved recommending application.</t>
  </si>
  <si>
    <t xml:space="preserve">https://github.com/madhushri-work-space
</t>
  </si>
  <si>
    <t xml:space="preserve">https://www.linkedin.com/in/madhushri-k-a-b493ba222/
</t>
  </si>
  <si>
    <t xml:space="preserve">- [ ] PyTorch
- [ ] vLLM
- [ ] DeepSpeed
- [ ] Ray
- [ ] Helion
- [ ] Safetensors
- [x] Other
</t>
  </si>
  <si>
    <t xml:space="preserve">HTML, CSS, FIGMA
</t>
  </si>
  <si>
    <t>Priyanshubhartistm</t>
  </si>
  <si>
    <t xml:space="preserve">- [ ] Open source contributions
- [ ] Technical content creation
- [ ] Community leadership
- [x] Events or workshops
- [ ] Research or academic work
- [ ] Mentorship
- [x] University or student outreach
- [x] Translation or localization efforts
- [x] Other
</t>
  </si>
  <si>
    <t xml:space="preserve">Priyanshu Bharti
</t>
  </si>
  <si>
    <t xml:space="preserve">Sitamarhi, Bihar, India
</t>
  </si>
  <si>
    <t xml:space="preserve">Web Development &amp; UI/UX Design: Actively utilising HTML, CSS, Javascript and Figma to design and build intuitive user interfaces and web prototypes. I focus on creating clean, accessible digital experiences, which I aim to translate into building localised community landing pages, dashboards, and event assets for PyTorch initiatives.
Open Source &amp; Technology Exploration: Passionate about open-source ecosystems. Beyond frontend development, I am consistently exploring machine learning frameworks. I am deeply interested in how web technologies can be used to build interactive demos, documentation portals, and web-based interfaces for AI models.
</t>
  </si>
  <si>
    <t>pytorchkolkatacommunity-code</t>
  </si>
  <si>
    <t xml:space="preserve">I want to become a PyTorch Foundation Ambassador to bridge the gap between complex machine learning frameworks and aspiring student developers. As a final-year student deeply passionate about open source, I see a massive opportunity to make AI/ML more approachable to beginners through intuitive technical content, engaging web experiences, and structured student outreach. 
PyTorch has revolutionised the AI ecosystem by prioritising developer experience and flexibility. My primary motivation is to cultivate a vibrant, collaborative peer-to-peer learning environment in my region (Tamil Nadu, India). By leveraging my background in web development, UI/UX design, and technical writing, I want to create accessible resources and localised initiatives that empower students to transition from absolute beginners to active open-source contributors. 
Becoming an Ambassador would give me the platform and community backing to drive impactful local workshops, advocate for PyTorch Foundation projects, and inspire the next generation of developers to build with AI with confidence.
</t>
  </si>
  <si>
    <t xml:space="preserve">https://github.com/Priyanshubhartistm
</t>
  </si>
  <si>
    <t xml:space="preserve">Indrashish Bhattacharya
</t>
  </si>
  <si>
    <t xml:space="preserve">If selected as an Ambassador, I plan to actively support and scale the PyTorch community through a blend of technical education, design, and localised student engagement:
Organising Events &amp; Workshops: I will take the lead in organising hands-on bootcamps, hackathons, and open-source contribution days at the university level. My goal is to introduce students to PyTorch fundamentals and walk them through setting up their first machine learning environments.
Content Creation &amp; Technical Advocacy: I will utilise my technical writing and content creation skills to publish beginner-friendly tutorials, visual guides, and breakdown notes on PyTorch updates. I want to make open-source documentation feel less intimidating for new developers.
Community Building &amp; UI/UX Support: Leveraging my background in HTML, CSS, and Figma, I want to design and build localised community landing pages, interactive web-based AI demos, and engaging promotional assets for local PyTorch meetups. 
Bridging Academia and Community: As a student, I will work closely with academic circles and student tech clubs to integrate PyTorch-focused learning paths into peer-to-peer study groups, ensuring that open-source exploration becomes a core part of our campus culture.
</t>
  </si>
  <si>
    <t xml:space="preserve">- [x] Community Building
- [ ] Technical Education
- [ ] Open Source Contributions
- [x] Research &amp; Academia
- [ ] Developer Advocacy
- [ ] Mentorship
- [x] Events &amp; Workshops
- [x] Content Creation
- [ ] Regional Community Growth
- [ ] Other
</t>
  </si>
  <si>
    <t xml:space="preserve">https://www.linkedin.com/in/priyanshu-bharti-441823229/
</t>
  </si>
  <si>
    <t xml:space="preserve">https://github.com/pytorchkolkatacommunity-code
</t>
  </si>
  <si>
    <t xml:space="preserve">- [x] Open source contributions
- [ ] Technical content creation
- [x] Community leadership
- [x] Events or workshops
- [x] Research or academic work
- [x] Mentorship
- [x] University or student outreach
- [ ] Translation or localization efforts
- [ ] Other
</t>
  </si>
  <si>
    <t xml:space="preserve">I have been actively involved in building and nurturing technical communities for the past several years, with a strong focus on empowering students and aspiring developers in artificial intelligence and machine learning. Through my community initiatives, I have had the opportunity to guide and mentor over 700 students, helping them navigate their learning journeys in technology and open-source development.
My experience as a Campus Ambassador for prominent programs such as LetsUpgrade, Google Arcade, Microsoft Learn Student Ambassadors (MLSA), and Unstop has provided me with extensive hands-on experience in community engagement, event organization, and student mentorship. In these roles, I have successfully organized numerous workshops, learning sessions, and awareness campaigns that introduced students to emerging technologies, encouraged peer-to-peer learning, and created inclusive spaces for knowledge sharing.
Beyond ambassadorships, I run my own technical community where I regularly conduct sessions on AI fundamentals, career guidance, and open-source contribution pathways. I am deeply committed to lowering the barriers to entry for students from diverse and underrepresented backgrounds, ensuring they have access to quality learning resources and mentorship. My work has consistently focused on transforming passive learners into active contributors who feel confident engaging with real-world tools and projects.
I am particularly passionate about deep learning frameworks and believe that practical, community-driven education is essential for preparing the next generation of AI practitioners. My contributions reflect a sustained dedication to expanding access to technical education and fostering collaborative learning environments.
https://www.linkedin.com/posts/priyanshu-bharti-441823229_google-googlecloud-arcadefacilitator-activity-7375434747071836160-CxAG?utm_source=social_share_send&amp;utm_medium=member_desktop_web&amp;rcm=ACoAADlAqLEBV0az5z6oHtZ_HIKeTe49MG03-rE
https://www.linkedin.com/posts/priyanshu-bharti-441823229_postmanstudentexpert-postman-apis-activity-7355229089911226368-_kZT?utm_source=social_share_send&amp;utm_medium=member_desktop_web&amp;rcm=ACoAADlAqLEBV0az5z6oHtZ_HIKeTe49MG03-rE 
https://www.linkedin.com/posts/priyanshu-bharti-441823229_letsupgrade-studentsambassador-studentsambassadorprogram-activity-7330613579680743425-yutJ?utm_source=social_share_send&amp;utm_medium=member_desktop_web&amp;rcm=ACoAADlAqLEBV0az5z6oHtZ_HIKeTe49MG03-rE
</t>
  </si>
  <si>
    <t xml:space="preserve">I want to become a PyTorch Foundation Ambassador because I deeply believe that open-source AI frameworks are the foundation of accessible, innovative, and community-driven technological progress. As someone who has dedicated years to student empowerment and community building, I see the PyTorch Foundation Ambassador program as a unique opportunity to align my existing experience with a globally recognized ecosystem that is shaping the future of machine learning.
PyTorch stands as one of the most influential and widely adopted deep learning frameworks, powering cutting-edge research and production systems across education, healthcare, computer vision, natural language processing, and beyond. While I have guided hundreds of students through general AI and ML concepts, I am eager to deepen my own expertise in PyTorch specifically and to channel that knowledge back into the communities I serve. Becoming an ambassador would allow me to learn directly from the PyTorch ecosystem while simultaneously making it more approachable for beginners in my network.
My motivation is rooted in the belief that students should not merely be consumers of technology, but confident contributors to it. Through my work with LetsUpgrade, Google Arcade, MLSA, and Unstop, I have witnessed firsthand how structured support and accessible resources can transform a student's trajectory. As a PyTorch Foundation Ambassador, I would leverage this experience to create targeted learning opportunities, demystify deep learning for newcomers, and actively mentor students who aspire to contribute to open-source AI projects.
I am especially committed to helping students from emerging and underrepresented communities gain practical exposure to tools like PyTorch, which are often perceived as intimidating without proper guidance. My long-term goal is to bridge the gap between academic learning and hands-on AI development by fostering a culture of contribution, collaboration, and continuous learning.
</t>
  </si>
  <si>
    <t xml:space="preserve">https://www.linkedin.com/company/130684031/admin/dashboard/
</t>
  </si>
  <si>
    <t xml:space="preserve">As a PyTorch Foundation Ambassador, I would focus on expanding awareness, accessibility, and active participation in the PyTorch ecosystem, particularly among students and early-career developers in my existing and extended networks.
I plan to contribute in the following ways:
- **Organize educational workshops and hands-on bootcamps** that introduce students to PyTorch fundamentals, deep learning concepts, and real-world model building, leveraging my experience of guiding 700+ students.
- **Create beginner-friendly tutorials, project guides, and technical content** in both English and regional languages to ensure that language barriers do not prevent students from accessing quality PyTorch learning resources.
- **Mentor first-time contributors and students** by guiding them through their initial open-source contributions to PyTorch-related projects, helping them understand codebase structure, issue triaging, and best practices in collaborative development.
- **Leverage my Campus Ambassador network** (LetsUpgrade, Google Arcade, MLSA, Unstop) to amplify PyTorch Foundation initiatives within university communities, student organizations, and technology networks.
- **Facilitate knowledge-sharing sessions and networking opportunities** between students, researchers, and industry professionals to strengthen the local and global PyTorch community.
- **Advocate for inclusive AI education** by ensuring that students from underrepresented and non-traditional backgrounds receive the support and visibility they need to succeed in the open-source AI landscape.
</t>
  </si>
  <si>
    <t xml:space="preserve">Web development student with &lt; 1 year involvement. GitHub account is 5 months old with only HTML/CSS projects. Did not check familiarity with any PyTorch Foundation project (selected "Other: HTML, CSS, FIGMA"). Application does not meet minimum threshold.
</t>
  </si>
  <si>
    <t xml:space="preserve">- [x] Community Building
- [ ] Technical Education
- [x] Open Source Contributions
- [x] Research &amp; Academia
- [ ] Developer Advocacy
- [x] Mentorship
- [x] Events &amp; Workshops
- [ ] Content Creation
- [ ] Regional Community Growth
- [ ] Other
</t>
  </si>
  <si>
    <t xml:space="preserve">- [x] Open source contributions
- [x] Technical content creation
- [x] Community leadership
- [ ] Events or workshops
- [x] Research or academic work
- [ ] Mentorship
- [x] University or student outreach
- [ ] Translation or localization efforts
- [ ] Other
</t>
  </si>
  <si>
    <t>Has a credible beginner-education initiative and publishes learning content for students in Nepal. PyTorch-specific experience and demonstrated outcomes are still early-stage, and the plan needs clearer activities and measures.</t>
  </si>
  <si>
    <t>As a founding member of the PyTorch Kolkata Community, I have been leading a team of students and AI enthusiasts working to promote PyTorch adoption, open-source learning, and AI education within our local ecosystem.
PyTorch Kolkata Community is a newly established initiative focused on creating a collaborative environment where students, researchers, and developers can learn, build, and grow together using PyTorch. Since launching the community, we have started creating and publishing technical content covering PyTorch applications across Computational Chemistry, Computational Biology, Scientific Machine Learning, Graph Neural Networks, Generative AI, and related domains.
Together with my team, we have established the community's LinkedIn presence and GitHub repositories, where we regularly share educational resources, architecture diagrams, technical blogs, and practical PyTorch implementations. We are also regularly posting knowledge nuggets and learning-focused content to make PyTorch concepts more accessible to students and early-career practitioners.
Current community initiatives include:
• Development of open-source educational repositories covering Computational Chemistry and Computational Biology with PyTorch
• Creation of technical blogs, tutorials, and architecture diagrams explaining real-world PyTorch use cases
• Regular publication of knowledge-sharing content through the PyTorch Kolkata Community LinkedIn page
• Building a learning-focused environment for students interested in AI, Deep Learning, and Scientific Computing
As a growing community, we have also planned both online and in-person technical sessions aimed at fostering collaboration, knowledge sharing, and practical learning around PyTorch and its ecosystem.
Through these efforts, our objective is to strengthen local AI education, encourage open-source participation, and create opportunities for students and developers to engage with PyTorch in meaningful ways.
[Github Profile](https://github.com/settings/profile)
[</t>
  </si>
  <si>
    <t xml:space="preserve">I want to become a PyTorch Foundation Ambassador to help expand awareness, accessibility, and adoption of PyTorch among students, researchers, and developers, particularly within emerging and growing AI communities.
Through the PyTorch Kolkata Community, my team and I are working to create an ecosystem where learners can discover practical applications of PyTorch across domains such as Deep Learning, Scientific Computing, Computational Biology, Computational Chemistry, Graph Neural Networks, and Generative AI. We believe that many students are interested in AI but often lack structured guidance, community support, and exposure to real-world PyTorch applications.
Becoming a PyTorch Foundation Ambassador would enable me to connect local community efforts with the broader global PyTorch ecosystem, encourage knowledge sharing, promote open-source participation, and create more opportunities for technical learning and collaboration.
My motivation is to help build a sustainable PyTorch community that empowers learners to move from understanding concepts to building impactful projects while contributing back to the open-source AI ecosystem. Through community engagement, educational content, workshops, and outreach initiatives, I hope to support the continued growth of PyTorch and its user community.
</t>
  </si>
  <si>
    <t>cardinal-ship-it</t>
  </si>
  <si>
    <t xml:space="preserve">As a PyTorch Foundation Ambassador, I would contribute by helping grow and strengthen the PyTorch ecosystem through community building, educational outreach, technical content creation, and knowledge sharing.
Through the PyTorch Kolkata Community, my team and I plan to organize both online and in-person learning sessions focused on practical PyTorch applications across Machine Learning, Deep Learning, Scientific AI, Computational Biology, Computational Chemistry, Graph Neural Networks, and Generative AI. These initiatives are intended to make PyTorch more accessible to students, researchers, and early-career professionals.
I would continue creating high-quality educational resources, including technical blogs, tutorials, architecture diagrams, code repositories, and domain-specific learning materials that demonstrate real-world use cases of PyTorch. These resources would be shared openly to support learners at different stages of their AI journey.
I also aim to encourage greater participation in open-source communities by connecting students and developers with PyTorch learning opportunities, community discussions, and collaborative projects. Through outreach efforts, technical content, and community events, I hope to help more people discover, learn, and contribute to the PyTorch ecosystem.
In the long term, I would like to help build a sustainable and inclusive PyTorch community that promotes continuous learning, collaboration, and innovation while serving as a bridge between local AI communities and the broader global PyTorch ecosystem.
</t>
  </si>
  <si>
    <t xml:space="preserve">Cardinal Ezeano
</t>
  </si>
  <si>
    <t xml:space="preserve">Enugu Nigeria
</t>
  </si>
  <si>
    <t xml:space="preserve">https://github.com/cardinal-ship-it/Plotsenseai-hackathon-PSH2025-287
</t>
  </si>
  <si>
    <t xml:space="preserve">https://www.linkedin.com/in/cardinal-ezeano-25845019b?utm_source=share_via&amp;utm_content=profile&amp;utm_medium=member_android
</t>
  </si>
  <si>
    <t>PyTorch Kolkata Community is a newly established community focused on promoting PyTorch adoption, AI education, and open-source learning among students, researchers, and developers.
Our team has recently launched the community's LinkedIn page and GitHub presence, where we are publishing educational resources, technical blogs, architecture diagrams, and practical PyTorch implementations across domains such as Computational Chemistry, Computational Biology, Scientific Machine Learning, Graph Neural Networks, and Generative AI.
Current initiatives include:
• Regular publication of PyTorch knowledge nuggets and technical content through LinkedIn
• Development of open-source educational repositories focused on scientific AI applications
• Creation of architecture diagrams and learning resources to simplify complex PyTorch concepts
• Community-driven knowledge sharing and technical discussions
We have also planned both online and in-person learning sessions aimed at helping students and early-career practitioners explore PyTorch through practical, real-world use cases.
Supporting Resources:
• PyTorch Kolkata Community LinkedIn Page: [https://www.linkedin.com/company/130684031/admin/dashboard/]
• PyTorch Kolkata Community GitHub Organization: [https://github.com/settings/profile]
• Computational Chemistry with PyTorch Repository: [https://github.com/pytorchkolkatacommunity-code/pytorch-kolkata-computational-chemistry]
• Computational Biology with PyTorch Repository: [https://github.com/pytorchkolkatacommunity-code/pytorch-kolkata-computational-biology]
Our long-term vision is to build a sustainable regional PyTorch community that encourages learning, collaboration, open-source participation, and the application of PyTorch across research, academia, and industry.</t>
  </si>
  <si>
    <t xml:space="preserve">- [ ] Open source contributions
- [x] Technical content creation
- [x] Community leadership
- [x] Events or workshops
- [x] Research or academic work
- [x] Mentorship
- [ ] University or student outreach
- [ ] Translation or localization efforts
- [ ] Other
</t>
  </si>
  <si>
    <t xml:space="preserve">I have been the pytorch Nigerian community manager for over a year now, I have organized bootcamps, online meetup for the community, i also have some blog post on pytorch on linkedin. These are my contribution to the pytorch community. Links to some of my contributions are listed below
https://drive.google.com/file/d/1jekEB7ucOCYzGpSPrxLjcjWOLXzPgC-r/view
https://www.linkedin.com/posts/cardinal-ezeano-25845019b_this-article-is-structured-around-answering-ugcPost-7466098656945946624-oCvp/?utm_source=share&amp;utm_medium=member_desktop&amp;rcm=ACoAAC7ftmQBptLbp1covjLQDpIOk4pxjvFsz7A
https://www.linkedin.com/posts/cardinal-ezeano-25845019b_this-is-a-technical-survey-and-white-paper-ugcPost-7464729536690155520-kZg-/?utm_source=share&amp;utm_medium=member_desktop&amp;rcm=ACoAAC7ftmQBptLbp1covjLQDpIOk4pxjvFsz7A
</t>
  </si>
  <si>
    <t>AswaniSahoo</t>
  </si>
  <si>
    <t xml:space="preserve">Pytorch framework being a research friendly framework has motivated me. It also fuels my drive for pytorch education to close the gap we have in Nigeria and Africa at large. There is a great interest to build machine learning models in Nigeria by the youths, but the skills they don't have. 
</t>
  </si>
  <si>
    <t xml:space="preserve">I will contribute by educational outreach, organizing community events creating contents and also supporting local AI communities in Nigeria and Africa at large.
</t>
  </si>
  <si>
    <t xml:space="preserve">Aswani Kumar Sahoo
</t>
  </si>
  <si>
    <t xml:space="preserve">Rourkela, Odisha, India
</t>
  </si>
  <si>
    <t xml:space="preserve">https://github.com/AswaniSahoo
</t>
  </si>
  <si>
    <t xml:space="preserve">https://gitlab.com/kaite1
</t>
  </si>
  <si>
    <t xml:space="preserve">https://www.linkedin.com/in/aswani-sahoo/
</t>
  </si>
  <si>
    <t xml:space="preserve">https://x.com/AswaniSahoo2
</t>
  </si>
  <si>
    <t>amanmurari</t>
  </si>
  <si>
    <t xml:space="preserve">18. Other: ExecuTorch (PyTorch Edge / on-device)
</t>
  </si>
  <si>
    <t xml:space="preserve">Aman Murari Singh
</t>
  </si>
  <si>
    <t xml:space="preserve">- [x] Open source contributions
- [x] Technical content creation
- [ ] Community leadership
- [ ] Events or workshops
- [x] Research or academic work
- [ ] Mentorship
- [ ] University or student outreach
- [ ] Translation or localization efforts
- [ ] Other
</t>
  </si>
  <si>
    <t xml:space="preserve">Bhubaneswar, odisha, india
</t>
  </si>
  <si>
    <t xml:space="preserve">https://github.com/amanmurari
</t>
  </si>
  <si>
    <t xml:space="preserve">I'm an official PyTorch organization member and a PyTorch Docathon 2026 Honorable Mention (first-timer category). My contributions across the PyTorch ecosystem:
- pytorch/pytorch + pytorch/executorch: 9 merged PRs — documentation and tutorial improvements, several shipped during the 2026 Docathon (which earned the Honorable Mention).
- OpenClimateFix/graph_weather (a PyTorch-based weather GNN): 6 merged PRs incl. a diffusion ThermalizerLayer and dataset loaders; listed as a contributor in release v1.0.132 (Zenodo DOI).
Across all open source: 18 merged PRs in 5 organizations.
PRs: https://github.com/pytorch/pytorch/pulls?q=is%3Apr+author%3AAswaniSahoo  |  https://github.com/pytorch/executorch/pulls?q=is%3Apr+author%3AAswaniSahoo
</t>
  </si>
  <si>
    <t xml:space="preserve">I'm a self-taught ML developer at NIT Rourkela, India. PyTorch is how I learned to build  and on my campus, students interested in ML have very few local resources or a hands-on community to learn it. I want to be an Ambassador to change that: build an active PyTorch community at my college and in my region, and keep learning in public so others early in their journey can see a real beginner-to-builder path. The ecosystem let me in without a CS degree; I want to widen that door for others in India.
</t>
  </si>
  <si>
    <t xml:space="preserve">https://linkedin.com/in/amanmurarisingh
</t>
  </si>
  <si>
    <t xml:space="preserve">As a current NIT Rourkela student I can host PyTorch workshops and study sessions on campus from day one (in-person and virtual), and start a campus PyTorch user group. I also build in public: a technical blog series (e.g., LLM inference and how models actually run on a GPU, from first principles) shared with the community. Per quarter I'd run at least one hands-on event (intro-to-PyTorch / build-your-first-model / inference internals), publish tutorials/posts, and mentor peers making their first open-source contributions.
</t>
  </si>
  <si>
    <t>Brand new initiative with no established track record of community event. Better fit after community is established properly so maybe next year.</t>
  </si>
  <si>
    <t xml:space="preserve">- [x] Community Building
- [x] Technical Education
- [x] Open Source Contributions
- [ ] Research &amp; Academia
- [ ] Developer Advocacy
- [ ] Mentorship
- [x] Events &amp; Workshops
- [x] Content Creation
- [x] Regional Community Growth
- [ ] Other
</t>
  </si>
  <si>
    <t>Claims "PyTorch Nigerian community manager for over a year" but no corroborating evidence found. GitHub is predominantly Web3/NFT/blockchain with only very recent basic ML repos. the unverified community manager claim and lack of PyTorch technical depth are concerns.</t>
  </si>
  <si>
    <t>PyTorch Docathon 2026 Honorable Mention (first-timer). Contributor on OpenClimateFix/graph_weather (release v1.0.132, Zenodo DOI). Recently started writing in public (first post: "5 mistakes that cost me GSoC and LFX") and am launching a build-in-public series on LLM inference. As an NIT Rourkela student I'm well placed to grow a hands-on PyTorch community on campus and across eastern India.</t>
  </si>
  <si>
    <t xml:space="preserve">- [x] Open source contributions
- [ ] Technical content creation
- [x] Community leadership
- [x] Events or workshops
- [x] Research or academic work
- [x] Mentorship
- [x] University or student outreach
- [x] Translation or localization efforts
- [ ] Other
</t>
  </si>
  <si>
    <t xml:space="preserve">I am an AI Researcher and Engineer with hands-on experience in PyTorch, deep learning, large language models, reinforcement learning, multi-agent systems, and RAG-based applications.
My main contribution is my work on efficient transformer models through the nano-gpt-oss project at Vizuara Technologies. In this work, I researched and implemented efficient transformer variants using PyTorch. I worked on hybrid attention mechanisms, including sliding-window attention and sink tokens, and also explored MoE-enhanced MLP architectures.
I also used PyTorch Distributed Data Parallel to support distributed training across multiple GPUs and improve throughput for large-scale language model pre-training. This helped me understand not only model design but also practical training and scaling challenges in PyTorch.
The nano-gpt-oss repository crossed 100+ GitHub stars and 30+ forks, showing interest from the developer and AI research community. My work helped improve validation loss, memory efficiency, and model scalability compared to smaller GPT-style baselines.
Supporting link:
https://github.com/VizuaraAI/nano-gpt-oss
I have also built practical AI projects using PyTorch and related tools, including:
Dog emotion detection using CNN-based deep learning models
RAG-based chatbot for Django documentation
Multi-agent machine learning system for selecting better ML models
Datagentz, an AI-powered Excel add-in for natural language data analysis
Supporting links:
https://github.com/amanmurari/
https://marketplace.microsoft.com/en-us/product/WA200009638
Apart from projects, I actively share my learning and work with other students and developers. I am interested in helping beginners understand PyTorch, deep learning, LLMs, and practical AI system building in a simple way.
</t>
  </si>
  <si>
    <t xml:space="preserve">I want to become a PyTorch Foundation Ambassador because PyTorch has played an important role in my learning, research, and project development journey. Most of my deep learning and LLM research work has been built using PyTorch, including CNN models, transformer experiments, distributed training, and AI agent systems.
I want to help more students, beginners, and developers learn PyTorch in a practical and simple way. Many students in India are interested in AI but do not know how to move from theory to real projects. As an Ambassador, I want to bridge that gap by creating learning content, organizing workshops, mentoring students, and encouraging open-source contributions.
My motivation is to support the PyTorch community, grow local AI learning communities, and help more people build useful AI systems using PyTorch.
</t>
  </si>
  <si>
    <t xml:space="preserve">As a PyTorch Foundation Ambassador, I would contribute by focusing on education, mentorship, open-source contribution, and community growth.
I would organize beginner-friendly PyTorch workshops for students and developers. These workshops would cover topics such as tensors, neural networks, CNNs, transformers, fine-tuning, distributed training, and building real-world AI projects.
I would also create simple technical content such as tutorials, blog posts, GitHub examples, and short videos to explain PyTorch concepts in an easy way. My goal would be to make PyTorch learning more accessible for students from India and other emerging regions.
I would mentor students who want to start contributing to open source or build AI/ML projects. I can guide them on how to read PyTorch code, build projects, train models, debug errors, and contribute to GitHub repositories.
I would also continue building open-source AI projects using PyTorch and share reproducible code, training logs, experiments, and research learnings with the community.
My focus would be to help grow a strong PyTorch learning and contributor community, especially among students and early-career AI developers.
</t>
  </si>
  <si>
    <t xml:space="preserve">- [x] Community Building
- [x] Technical Education
- [x] Open Source Contributions
- [x] Research &amp; Academia
- [ ] Developer Advocacy
- [ ] Mentorship
- [x] Events &amp; Workshops
- [ ] Content Creation
- [x] Regional Community Growth
- [ ] Other
</t>
  </si>
  <si>
    <t>I have worked on multiple AI and deep learning projects using PyTorch, TensorFlow, FastAPI, LangChain, CrewAI, AutoGen, and related tools. My main interest is in large language models, reinforcement learning, multi-agent systems, transformer architectures, and practical AI applications.
Some of my key achievements and projects include:
Research Intern at Vizuara Technologies Private Limited
Core contributor to nano-gpt-oss, an open-source LLM research project with 100+ GitHub stars and 30+ forks
Worked on PyTorch DDP for distributed training across multiple GPUs
Built Datagentz, an AI-powered Excel add-in for natural language data analysis
Developed CNN-based dog emotion detection model
Built RAG-based chatbot for Django documentation
1st Place winner in AI/ML Hackathon Synchronize 4.0, competing against 50+ teams
Supporting links:
GitHub: https://github.com/amanmurari/
LinkedIn: https://linkedin.com/in/amanmurarisingh
nano-gpt-oss: https://github.com/VizuaraAI/nano-gpt-oss
Datagentz: https://marketplace.microsoft.com/en-us/product/WA200009638</t>
  </si>
  <si>
    <t>Amr-Abdellatif</t>
  </si>
  <si>
    <t xml:space="preserve">Amr Osama Abdellatif
</t>
  </si>
  <si>
    <t>Exceptional direct project engagement: nine merged PyTorch and ExecuTorch documentation/tutorial PRs and a Docathon honorable mention. The campus plan is practical and specific; current community delivery evidence is less developed than the technical contribution record.</t>
  </si>
  <si>
    <t xml:space="preserve">cairo,egypt
</t>
  </si>
  <si>
    <t xml:space="preserve">https://github.com/Amr-Abdellatif
</t>
  </si>
  <si>
    <t>TiwariLaxuu</t>
  </si>
  <si>
    <t xml:space="preserve">Laxmi Tiwari
</t>
  </si>
  <si>
    <t xml:space="preserve">https://www.linkedin.com/in/amr-osama-abdellatif/
</t>
  </si>
  <si>
    <t xml:space="preserve">Kathmandu, Nepa
</t>
  </si>
  <si>
    <t xml:space="preserve">https://github.com/TiwariLaxuu 
</t>
  </si>
  <si>
    <t xml:space="preserve">- [ ] Open source contributions
- [x] Technical content creation
- [ ] Community leadership
- [ ] Events or workshops
- [x] Research or academic work
- [x] Mentorship
- [ ] University or student outreach
- [ ] Translation or localization efforts
- [ ] Other
</t>
  </si>
  <si>
    <t xml:space="preserve">i have around 7 years of exprience in AI and Deep Learning , i made a Pytorch series for Arabic community that is the standard for arabic speaking people world wide .. with around 45 k views and this changed alot in my life by getting into interviews and gaining credit in my community for teaching and spreading knowledge in such important framework
Link for the Pytorch playlist : https://www.youtube.com/watch?v=q1Hk7YiR5SA&amp;list=PLhBhgortqAcjERnXJE1SqmKvL7UFw7xCp
also i made advanced topics playlist for Pytorch 
Link : https://www.youtube.com/watch?v=JMpetl9MxXw&amp;list=PLhBhgortqAcilBotnw2se_29KoBc5Wj2f
also i have around 11 k followers on LINKEDIN so im also known in the egyptian and Middle East community 
i'm a researcher as well as im currently publishing my paper for Q2 springer journal and i used PyTorch to do that and build my way in research 
so alot has changed in my life just teaching and using PyTorch 
</t>
  </si>
  <si>
    <t xml:space="preserve">im really intersted in spreading more knowledge about PyTorch and how it fires up the whole AI stack Today and with more people knowing it through engagments and events it becomes more accessible and people can produce more Pytorch artifacts and i'm a educator by nature i like teaching and spreading knowledge 
</t>
  </si>
  <si>
    <t xml:space="preserve">https://www.linkedin.com/in/laxmi-tiwari/
</t>
  </si>
  <si>
    <t xml:space="preserve">i'm thinking to make more events and organize and educate people on PyTorch and how to contribute and research and being able to do that through the title would be really supportive for the middle eastern community 
</t>
  </si>
  <si>
    <t xml:space="preserve">- [x] PyTorch
- [x] vLLM
- [x] DeepSpeed
- [x] Ray
- [ ] Helion
- [x] Safetensors
- [ ] Other
</t>
  </si>
  <si>
    <t xml:space="preserve">The nominee has contributed to the PyTorch ecosystem through applied AI research, mentorship, and community engagement. Their work spans reinforcement learning, financial AI, multimodal healthcare systems, and retrieval-augmented generation (RAG), with PyTorch serving as the primary framework for model development and experimentation.
Notable contributions include research presented at ICAIF 2025 (Look-Ahead Reinforcement Learning: Integrating Time-Series Forecasting), CLEF 2025 (Multimodal AI for Gastrointestinal Diagnostics), and the Bloomberg–Columbia Machine Learning in Finance Conference (Recurrent Lagrangian PPO with Decision Tree in Trading).
As an advisor in Project Nexus (Columbia University and Logictronix Technologies), the nominee has mentored Master's students in AI and mathematics, supporting research and hands-on development using PyTorch-based workflows.
Their work has been recognized through awards including SecureFinAI Task-1, the FinRL Crypto Trading Competition, and the Ready Tensor AI Showcase. The nominee is also committed to expanding access to AI education and research opportunities, particularly for students from underrepresented and developing regions.
Supporting links: GitHub repositories, conference presentations, research papers, and PyTorch-based implementations related to reinforcement learning and AI research.
</t>
  </si>
  <si>
    <t xml:space="preserve">The nominee aspires to become a PyTorch Foundation Ambassador to help expand access to AI education, research, and open-source collaboration, particularly in underrepresented and developing communities. Having built research and real-world AI applications using PyTorch, they are passionate about sharing knowledge, mentoring aspiring practitioners, and promoting best practices in machine learning and deep learning.
As an active researcher and mentor, the nominee aims to contribute to the PyTorch ecosystem by creating educational content, supporting community initiatives, participating in workshops and events, and encouraging more students and professionals to engage with open-source AI. They are particularly interested in demonstrating how PyTorch can be applied to real-world challenges in finance, healthcare, and intelligent agent systems.
Through the Ambassador program, the nominee hopes to strengthen connections between academia, industry, and the open-source community while helping foster a more inclusive and globally accessible AI ecosystem.
</t>
  </si>
  <si>
    <t xml:space="preserve">As a PyTorch Foundation Ambassador, the nominee would leverage both their technical expertise and community leadership experience to grow PyTorch adoption and engagement, particularly in emerging AI communities.
The nominee currently serves as a committee member of the Event Team at [[Women in Big Data Nepal](https://womeninbigdata.org/nepal/?utm_source=chatgpt.com)](https://womeninbigdata.org/nepal/?utm_source=chatgpt.com), where they help organize technical events, workshops, networking sessions, and knowledge-sharing initiatives that connect students, researchers, and industry professionals. Through this role, they have gained experience in community building, event coordination, speaker outreach, and fostering inclusive participation in AI and data science.
As an Ambassador, they plan to organize PyTorch-focused workshops, study groups, and hands-on sessions covering deep learning, reinforcement learning, LLMs, and real-world AI applications. They are particularly interested in supporting students and early-career practitioners from underrepresented regions by providing mentorship, educational resources, and pathways into open-source contribution.
Additionally, the nominee would contribute through technical content creation, research dissemination, and community outreach, helping bridge the gap between academic research, industry applications, and open-source development. Their goal is to build a stronger PyTorch community in Nepal and beyond while encouraging more diverse participation in the global AI ecosystem.
</t>
  </si>
  <si>
    <t>souravsahums</t>
  </si>
  <si>
    <t>Strong PyTorch educator with genuine track record of Arabic-language tutorials (~45k YouTube views, 39-star learning repo). No upstream contributions to Foundation projects, but extensive personal PyTorch implementation repos demonstrate real technical depth. Middle East/Egypt is a priority region and Arabic PyTorch content is underserved. Main weakness is vague ambassador plan. Application is informa</t>
  </si>
  <si>
    <t xml:space="preserve">Sourav Sahu
</t>
  </si>
  <si>
    <t xml:space="preserve">Hyderabad, Telangana, India
</t>
  </si>
  <si>
    <t>Coming from a rural region with limited access to technology, the nominee is passionate about making AI education and open-source opportunities more accessible to students and researchers from developing and underrepresented communities. Their long-term goal is to build impactful AI systems while fostering a more inclusive and globally connected AI ecosystem.</t>
  </si>
  <si>
    <t xml:space="preserve">https://github.com/souravsahums
</t>
  </si>
  <si>
    <t xml:space="preserve">https://linkedin.com/in/sourav-sahu
</t>
  </si>
  <si>
    <t>Good research background with verifiable track record. Nepal is underserved plus women plus has diversity value. Rural background narrative is genuine.</t>
  </si>
  <si>
    <t xml:space="preserve">## PyTorch in Production: Enterprise-Scale Deep Learning
I am a Data &amp; AI Consultant at Microsoft with 3.5+ years of experience building and deploying PyTorch-based systems at enterprise scale across energy, manufacturing, agriculture, and compliance domains.
 PyTorch Technical Work
**3D Fourier Neural Operator (FNO) Surrogate Models** — Built and deployed 3D FNO-based surrogate models using PyTorch for reservoir simulation acceleration in the oil &amp; gas industry. These models replaced multi-hour physics simulations with 2-minute inference runs (180x speedup), enabling real-time decision support for reservoir behavior prediction. Designed custom PyTorch loss functions and calibration strategies that achieved an 18% MAE reduction on unseen well data.
- Supporting link: Co-authored research submitted to EAGE Symposium on Subsurface Intelligence, Kuala Lumpur (2026), with Dr. Gareth O'Brien.
**Vision-Language Models with PyTorch** — Developed a real-time chess commentary system using PyTorch-based vision-language models (ViT + Transformers) capable of generating natural language insights from live board states. Published on Microsoft's official Data Science + AI publication 
on Medium (9,750+ followers).
- Article: https://medium.com/data-science-at-microsoft/real-time-chess-commentary-using-vision-language-models-c9d4e68a9de7
**Forecasting &amp; Anomaly Detection** — Built PyTorch-based forecasting models (N-BEATS) and anomaly detection systems using Half-Sibling Regression for solar farm monitoring, improving early fault detection by 24%.
 Published Content &amp; Knowledge Sharing
- **Global Technical Lab Instructor (Microsoft MCAPS Tech Connect 2026, Seattle)**: I recently designed and led a hands-on technical lab for an audience of 80+ global attendees with highly diverse technical and non-technical backgrounds. My team and I guided the participants through building an Agentic RAG pipeline, demonstrating how to unify and query multiple data sources (including PDFs and structured storage in Microsoft Fabric).
- **"Real-Time Chess Commentary Using Vision-Language Models"** — Medium, Data Science + AI at Microsoft (Aug 2025). Demonstrates PyTorch-powered VLM pipelines.
  https://medium.com/data-science-at-microsoft/real-time-chess-commentary-using-vision-language-models-c9d4e68a9de7
- **"From Monoliths to Modules: Rethinking AI Architecture"** — LinkedIn (Co-authored with CTO, Energy Asia). Covers modular ML system design patterns.
- **"Beyond the Answer: Solving the Page-Level Citation Gap in RAG"** — LinkedIn. Infrastructure for grounded LLM responses.
- **20+ technical sessions** delivered internally at Microsoft on scalable GenAI pipelines, RAG architectures, and PyTorch-based modeling.
 Open Source
- **Consumer-Digital-Twin** — Behavioral-science-grounded digital twin system with PyTorch/ML components achieving 84% choice-prediction accuracy. 
  https://github.com/souravsahums/Consumer-Digital-Twin
- **rlenv** — Deterministic RL environment for evaluating LLM agents in fintech CRM scenarios with formalized turn-usefulness scoring. 
  https://github.com/souravsahums/rlenv
- **Real-Time-Chess-Commentator-App** — AI-powered chess commentary using vision models. 
  https://github.com/souravsahums/Real-Time-Chess-Commentator-App
- **KrishiLekha** — Agentic OCR-to-RAG system for multilingual farm advisory (national-scale impact potential). 
  https://github.com/souravsahums/KrishiLekha
 Mentorship &amp; Community Leadership
- **SME for Microsoft's AI Apprentice Program (Batch 2)** — Ran office hours and guided peers to a 70% module completion rate across GenAI and RAG concepts.
- **Foundry IQ Hackathon** — Led team formation, GitHub organization setup, and infrastructure access as builder and organizer.
- **Co-authored research** with Dr. Gareth O'Brien for the EAGE Symposium on AI emulators for reservoir forecasting.
 Measurable Impact
- 20+ workshops/sessions organized and delivered
- 15+ engineers mentored across AI apprentice programs and intern cohorts
- 70% module completion rate achieved in AI mentorship program
- Published on a platform with 9,750+ followers (DS@Microsoft on Medium)
- Platinum Club Winner 2025 — Microsoft's top 1% global recognition for impact and innovation
</t>
  </si>
  <si>
    <t xml:space="preserve">I want to bridge the gap between PyTorch's cutting-edge capabilities and the practitioners in India and South Asia who are building real-world AI systems but lack a local community to learn, share, and grow together.
Having used PyTorch to build everything from 3D Fourier Neural Operators for physics-based simulation to vision-language systems for real-time commentary, I've seen firsthand how PyTorch's flexibility and ecosystem enable solutions that were previously impossible. But in 
my region — Odisha and Hyderabad, India — there is no active PyTorch community or user group. Engineers learn in isolation, without the peer networks that accelerate growth.
As an Ambassador, I want to change that. I'm motivated by the same instinct that drives my mentorship work at Microsoft: making complex AI accessible to the next generation of builders. 
The PyTorch Foundation's values of openness, inclusion, and collaboration align directly with how I work — from co-authoring research with senior scientists to running hackathons and mentoring junior engineers.
I'm also pursuing an M.Tech in AI/ML at BITS Pilani, which gives me a direct channel to university students who are the future PyTorch contributors. This Ambassador role would let me formalize and scale the community-building work I've been doing organically.
</t>
  </si>
  <si>
    <t xml:space="preserve"> 1. Regional Community Building (India / South Asia)
- Launch a **PyTorch India Community** starting in Hyderabad and expanding to Bhubaneswar (Odisha), targeting tier-2 cities where AI communities are underserved.
- Host **quarterly meetups** (in-person in Hyderabad + virtual for pan-India reach) focused on hands-on PyTorch workshops — FNO modeling, Transformer fine-tuning, RAG with PyTorch, and production deployment patterns.
 2. Technical Content Creation
- Publish **PyTorch-specific tutorials** on Medium (DS@Microsoft channel, 9,750+ followers) covering real-world use cases: surrogate modeling with FNOs, vision-language pipelines, and  production-grade PyTorch deployment.
- Create **beginner-to-intermediate PyTorch learning paths** as open-source notebooks on GitHub.
 3. University &amp; Student Outreach
- Leverage my **M.Tech at BITS Pilani** to organize PyTorch study groups and project showcases with fellow students.
- Partner with **ITER, SOA University** (my B.Tech alma mater, 5000+ CS students) to introduce PyTorch workshops into their curriculum pipeline.
 4. Mentorship &amp; Open Source
- Mentor **new contributors** to PyTorch ecosystem projects, drawing from my experience guiding 15+ engineers through AI apprentice programs.
- Open-source PyTorch-based tools from my work: FNO training pipelines, evaluation harnesses, and agentic RL environments.
 5. Cross-Industry Advocacy
- Share how PyTorch powers solutions in **energy, agriculture, and manufacturing** — domains underrepresented in PyTorch's community stories — through conference talks, blog posts, and Foundation success stories.
</t>
  </si>
  <si>
    <t>Provides concrete PyTorch model implementations, a public repository, and a detailed, measurable advocacy plan. The application gives less evidence of already-delivered community education or mentorship, so impact scores remain moderate.</t>
  </si>
  <si>
    <t>- Upcoming guest on a YouTube podcast with The Youth Talk, discussing emerging careers in the AI economy and the new roles AI is creating beyond traditional software engineering. (Scheduled for release in 2026)
- Actively collaborating with a Government of India initiative on framing problem statements and serving as a Technical Advisor to the Judging Committee for an upcoming nationwide AI hackathon. (Details under NDA, expected to be publicly announced later in 2026)
- **FFE-Microsoft Mentorship Program (2026–27)** — Active volunteer mentor supporting an underprivileged engineering student with AI skills and career readiness through the Foundation for Excellence, a 30-year-old non-profit serving scholars across 27 Indian states.
 Awards &amp; Recognition
- **Platinum Club Winner 2025** — Microsoft's top 1% global recognition for exemplary impact and innovation on strategic AI projects.
- **Winner, Ireland Hackathon (Aspirational)** — Designed AHAA, an AI interviewer for vendor screening.
- **Top 3, Microsoft Copilot Innovation Lab** — GDC-wide competition.
 Academic Background
- **M.Tech in AI/ML (WILP)**, BITS Pilani (Oct 2025 – Sep 2027)
- **PG Programme in Applied Data Science &amp; ML**, IIT Madras (Grade: 85%)
- **B.Tech in CSE**, ITER, SOA University (GPA: 9.85/10)
 Certifications
Microsoft AZ-900, AI-900, DP-900, AI-102, SC-900
 Why India Needs a PyTorch Ambassador
India has one of the largest developer populations globally, yet PyTorch community presence is concentrated in Bangalore. Cities like Hyderabad (India's AI hub with Microsoft, Google, Amazon presence) and tier-2 cities like Bhubaneswar and Cuttack have thousands of ML practitioners with no local PyTorch community. As someone based across these cities, I'm uniquely positioned to activate this untapped community.
 Links
- Medium (DS@Microsoft): https://medium.com/data-science-at-microsoft/real-time-chess-commentary-using-vision-language-models-c9d4e68a9de7
- GitHub: https://github.com/souravsahums
- LinkedIn: https://linkedin.com/in/sourav-sahu</t>
  </si>
  <si>
    <t>cataluna84</t>
  </si>
  <si>
    <t xml:space="preserve">Mayank Bhaskar
</t>
  </si>
  <si>
    <t xml:space="preserve">Uttar Pradesh, India
</t>
  </si>
  <si>
    <t xml:space="preserve">http://github.com/cataluna84
</t>
  </si>
  <si>
    <t>Real PyTorch experience through nano-gpt-oss (primary contributor with substantive transformer architecture code). However, inflates picture: claims familiarity with vLLM, DeepSpeed, Safetensors with no evidence; community activities lack evidence. No contributions to any Foundation project.</t>
  </si>
  <si>
    <t xml:space="preserve">https://www.linkedin.com/m/in/cataluna84/
</t>
  </si>
  <si>
    <t xml:space="preserve">https://x.com/cataluna84
</t>
  </si>
  <si>
    <t xml:space="preserve">Vishwajeet shashikant adkine
</t>
  </si>
  <si>
    <t>Elontim</t>
  </si>
  <si>
    <t xml:space="preserve">Timilehin Ayoola
</t>
  </si>
  <si>
    <t xml:space="preserve">github.com/983111
</t>
  </si>
  <si>
    <t xml:space="preserve">https://www.linkedin.com/in/vishwajeet-adkine-a01a21292?utm_source=share&amp;utm_campaign=share_via&amp;utm_content=profile&amp;utm_medium=android_app
</t>
  </si>
  <si>
    <t xml:space="preserve">https://github.com/Elontim
</t>
  </si>
  <si>
    <t xml:space="preserve">**Community Contribution Overview — Mayank Bhaskar**
Mayank Bhaskar is the founder of **OM Enterprises — AI Research &amp; Engineering Labs** (Lucknow, India) and **Computer Vision Community Lead at Cohere Labs**, with 15+ years of sustained technical and community contributions across open-source AI/ML ecosystems, including projects built on and around PyTorch.
**Technical Work &amp; Open-Source Contributions (PyTorch-based projects)**
Mayank's research and engineering work is grounded in PyTorch and its ecosystem. Key repositories include:
- **Multilingual simultaneous translation (tinyaya-stage2-scale):** Distributed training (DDP), fine-tuning Transformer models, JAX/PyTorch interop, and cross-lingual embedding alignment on TPUs.
  GitHub: https://github.com/tiny-aya-simulatenous-translation/tinyaya-stage2-scale
- **Codec fine-tuning for multilingual audio-language models:**
  GitHub: https://github.com/tiny-aya-simulatenous-translation/codec-finetuning
- **Generative Deep Learning (Transformers from scratch):** Implements and trains generative models end-to-end using PyTorch, NumPy, and Hugging Face.
  GitHub: https://github.com/cataluna84/Generative_Deep_Learning
- **Layer-wise Language Identification (LID):** PyTorch-based probing of multilingual Transformer internals across layers.
  GitHub: https://github.com/cataluna84/lid
- **Crosslingual Emergent Misalignment (Cohere Labs):** Safety alignment research across high- and low-resource languages using PyTorch-based LLMs.
  GitHub: https://github.com/Cohere-Labs-Community/crosslingual-emergent-misalignment
- **ARC-AGI-3 (Kaggle, Silver 2024, Bronze 2025):** Program-synthesis solutions on the ARC-AGI benchmark using PyTorch-based architectures.
  GitHub: https://github.com/cataluna84/arc-agi-3
- **World Models v1.0:** RL-style generative world models with CMA-ES evolutionary strategies in PyTorch + OpenAI Gym.
  GitHub: https://github.com/cataluna84/WorldModels_v1.0
He also regularly deploys and benchmarks models using **vLLM** (a PyTorch Foundation project) for local inference, quantization experiments (GGUF/dynamic quant), and large-scale multilingual evaluation.
**Community Leadership &amp; Mentorship**
- **Computer Vision Community Lead at Cohere Labs:** Organizes reading groups, mentors teams on vision and multimodal projects (VLMs, grounded navigation models like WalkGPT, 3D Gaussian Splatting/PackUV), and supports participants in moving from reading papers to running reproducible experiments on real hardware.
  Program page: https://sites.google.com/cohere.com/coherelabs-community/community-programs/computer-vision
- Leads **TPU-focused workshops and lectures** helping researchers run and scale experiments on modern hardware (Google TRC grant recipient).
- Active in open research communities: EleutherAI, ToyML, Cohere Labs, and multiple AI safety and research discords.
**Events &amp; Research Programs**
- Participant and later **community lead** in **Cohere Labs' Expedition Aya 2024, 2025, and 2026** — a global open-build multilingual AI challenge — focusing on cross-lingual embedding alignment, emergent misalignment analysis, and Aya-related tooling.
- Attendee and contributor at top AI/ML conferences: **ICLR, ICML, CVPR, NeurIPS** — actively engaging with the research community and helping others navigate and implement findings.
- **HF Flax/JAX Community Sprint — 3rd place** for CLIP-RSICD (satellite image captioning), demonstrating community-first collaborative engineering.
**Content Creation &amp; Reach**
- Streams live technical worklogs on **YouTube and Twitch**, covering TPU/GPU experiments, LLM fine-tuning, competitive ML, and open-source AI research — building public awareness of PyTorch-stack workflows.
  X/Twitter: https://x.com/cataluna84 | GitHub: http://github.com/cataluna84
**Measurable Impact**
- **Kaggle Competitions Expert** — Rank ~1,532 / 202,876; 1 Silver + 3 Bronze across 21+ competitions.
- Mentored small teams across Cohere Labs vision program cohorts.
- Led reading groups and workshops across multiple international research communities.
- Contributed to open-source multilingual AI research directly used by participants in global challenges.
- Organizes weekly TWIML Generative AI Problem Solving, Research &amp; Impact Meetup where we have participants from all over the world — https://www.linkedin.com/events/twimlgenerativeaiproblemsolving7472995689220976640/
</t>
  </si>
  <si>
    <t xml:space="preserve">- [x] Open source contributions
- [x] Technical content creation
- [x] Community leadership
- [ ] Events or workshops
- [x] Research or academic work
- [x] Mentorship
- [x] University or student outreach
- [ ] Translation or localization efforts
- [ ] Other
</t>
  </si>
  <si>
    <t xml:space="preserve">https://www.linkedin.com/in/ayoola-timilehin-israel
</t>
  </si>
  <si>
    <t xml:space="preserve">https://x.com/Elontim
</t>
  </si>
  <si>
    <t xml:space="preserve">I have built several open-source AI projects that directly serve communities — most notably kaelith , a free platform helping 20+ students from underserved backgrounds improve their college applications, essays, and CVs using AI. I founded CeryxAI to bring crop disease detection and price forecasting to small-scale Indian farmers who lack access to agricultural expertise.
On the technical side, my PyTorch work spans building PPO reinforcement learning agents from scratch, fine-tuning LLaMA 3 Instruct for Android automation (published to HuggingFace Hub), and implementing custom CNNs and LSTMs in pure NumPy to deeply understand the fundamentals. I also runs The Digital Curator, a technical blog with 20+ research-backed articles on AI, security, and reliability.
Supporting links:
GitHub: github.com/983111
Research: github.com/983111/RESEARCH-work
RL work: github.com/983111/Reinforcement-Learning
HuggingFace: huggingface.co/vishwajeet456
</t>
  </si>
  <si>
    <t xml:space="preserve">The nominee wants to become a PyTorch Foundation Ambassador to formalize and amplify work they are already doing every day with PyTorch and its ecosystem (vLLM, DeepSpeed, Ray, Safetensors) in multilingual, multimodal, and distributed AI research and community building. 
## Motivation and alignment with PyTorch
At a technical level, almost all of the nominee’s research and open-source work runs through **PyTorch** as the primary framework for training, probing, and deploying language, vision, and multimodal models, so representing PyTorch formally is a natural extension of their existing practice. They actively rely on **vLLM** for scalable local and server-side inference, **DeepSpeed** and **Ray** for efficient distributed training and experiment orchestration, and **Safetensors** for safe, efficient model checkpointing and sharing across projects and collaborators. Becoming an Ambassador would let them advocate for these tools as a coherent ecosystem, show realistic end-to-end workflows (from experiment to deployment), and feed back pain points and best practices from their labs and community work into PyTorch Foundation projects.
## Community-facing reasons
The nominee already spends a large fraction of their time mentoring, running reading groups, and helping newer practitioners get their first serious PyTorch projects running on real hardware, especially in multilingual and under-resourced settings. As an Ambassador, they want to give these activities clearer structure and reach: organizing regular PyTorch- and vLLM-focused workshops, producing reproducible starter templates for DeepSpeed/Ray-based training, and teaching safer model handling with Safetensors in regions where documentation and local role models are scarce. They also see the role as a way to connect local and online communities (Kaggle competitors, Cohere Labs cohorts, EleutherAI-style groups) more directly to PyTorch Foundation initiatives and governance, so their feedback and needs are represented upstream. 
</t>
  </si>
  <si>
    <t xml:space="preserve">I have learned most of what I know by building things from scratch — neural nets in NumPy, RL agents in PyTorch, fine-tuned LLMs on custom datasets. I want to give back to the community that made that possible. Coming from India, I have seen firsthand how access to quality AI education is unevenly distributed, and I believe the open-source PyTorch ecosystem is one of the most powerful tools for changing that.
</t>
  </si>
  <si>
    <t xml:space="preserve">I would focus on making PyTorch more approachable for students and developers in South Asia through hands-on tutorials, real project walkthroughs, and community events. I already teach through Stremini academy and write technical content regularly. As an ambassador, I'd channel that energy into structured workshops, beginner-friendly PyTorch content in regional contexts, and mentoring students who are just starting out in ML.
</t>
  </si>
  <si>
    <t xml:space="preserve">- [ ] Community Building
- [x] Technical Education
- [x] Open Source Contributions
- [x] Research &amp; Academia
- [x] Developer Advocacy
- [x] Mentorship
- [ ] Events &amp; Workshops
- [ ] Content Creation
- [x] Regional Community Growth
- [ ] Other
</t>
  </si>
  <si>
    <t>active community ambassador with cncf but no PyTorch foundation project experience. Unfit for PyTorch specific ambassadorship.</t>
  </si>
  <si>
    <t xml:space="preserve">I am a Mechatronics Engineering undergraduate at the Federal University of Technology, Minna, Nigeria, with a strong passion for Artificial Intelligence, robotics, embedded systems, and community driven technology education.
Over the years, I have actively contributed to technology communities through mentorship, student outreach, technical education, content creation, and community leadership. I have trained and supported more than 100 students across different emerging technology areas including Artificial Intelligence, robotics, blockchain technology, software development, and innovation focused programs.
My involvement spans several technical and professional communities where I have served as a community manager, community lead, mentor, volunteer, and advocate for technology adoption. Through these roles, I have helped onboard new members, facilitate discussions, organize learning sessions, create educational content, and connect students with opportunities that accelerate their growth.
Within AI and related fields, I have participated in hackathons, innovation challenges, technical workshops, and learning communities focused on machine learning and intelligent systems. As a Mechatronics Engineering student, I am particularly interested in applying AI to robotics, automation, sustainability, accessibility, and engineering systems.
Notable contributions include:
* Training and mentoring students in emerging technologies and innovation.
* Supporting AI awareness and education initiatives within student communities.
* Participating in technical projects involving AI, robotics, IoT, and embedded systems.
* Creating educational and promotional content that increases community engagement.
* Facilitating access to scholarships, fellowships, competitions, and technical opportunities for students.
* Building communities that encourage collaboration and continuous learning.
Examples of community involvement and technical activities can be found through my profiles:
* GitHub: https://github.com/Elontim/COMPUTER-VISION-JOURNEY-DEEPTECH-YOUTUBE
* LinkedIn: https://www.linkedin.com/in/ayoola-timilehin-israel
* X: https://x.com/Elontim
Through these activities, I have consistently worked to strengthen technology communities and empower young Africans with the knowledge and resources needed to participate in the future of AI and open source innovation.
</t>
  </si>
  <si>
    <t xml:space="preserve">The nominee would contribute as a PyTorch Foundation Ambassador by turning their existing PyTorch-, vLLM-, DeepSpeed-, Ray-, and Safetensors-based research practice into structured community programs, mentorship, and technical advocacy for both local and global AI communities, especially across India and the broader Uttar Pradesh/Delhi region.
## Community events and educational outreach
They would organize regular online and local events focused on practical PyTorch workflows: hands-on labs for training and fine-tuning models with **PyTorch** and **DeepSpeed**, distributed experiment bootcamps using **Ray**, and inference clinics showing how to serve and benchmark LLMs with **vLLM** on real GPUs and TPUs. In underrepresented regions, they would run beginner-to-intermediate workshops that emphasize safe and reproducible model sharing with **Safetensors**, multilingual/multimodal use cases, and end-to-end pipelines that people can actually deploy. 
## Mentorship and contributor support
Building on their existing roles (Cohere Labs community lead, Kaggle Competitions Expert, organizer for AI Community Lucknow and Google Developers Group Lucknow), they would mentor new contributors on how to read PyTorch codebases, submit high-quality PRs, and navigate the ecosystems around vLLM, DeepSpeed, Ray, and Safetensors. This includes structured office hours, small-group project sprints, and review sessions that help people move from “using PyTorch” to contributing to PyTorch Foundation projects and related tooling. 
##Technical advocacy, livestream worklogs, and content creation
The nominee runs regular livestreams on **Twitch, X, and YouTube** where they maintain raw worklogs of multiple projects, including **Expedition Tiny Aya**, novel techniques for multilingual and multimodal models, and iterative refinement workflows using tools like Google’s Antigravity, Factory AI, Perplexity’s Comet, and Wispr Flow. These streams mix serious PyTorch- and vLLM-centric development (e.g., training, evaluation, and deployment) with public meetings and occasional gaming sessions (EA Sports FC, Forza Horizon) to keep the content approachable while still teaching deep, realistic workflows. As an Ambassador, they would formalize this into a consistent stream of PyTorch-focused tutorials, live debugging sessions, and “from paper to repo” series that showcase DeepSpeed/Ray scaling patterns and Safetensors-based model hygiene in real projects. 
## Supporting regional and global communities
Locally, they would act as a connector between university groups, independent researchers, startup founders, and meetups (e.g., TFUG Lucknow, GDG Lucknow, AI Community Lucknow, Lucknow AI Labs) who want to adopt PyTorch Foundation projects but lack structured guidance. Globally, they would continue collaborating with communities such as Cohere Labs, EleutherAI-style research groups, TWIML meetups, and Kaggle to promote PyTorch-first practices, encourage contributions upstream, and ensure that improvements in vLLM, DeepSpeed, Ray, and Safetensors are widely understood and adopted in real-world ML stacks. 
</t>
  </si>
  <si>
    <t xml:space="preserve">I want to become a PyTorch Foundation Ambassador because I believe AI education and open source collaboration are critical to shaping the future of innovation in Africa.
Throughout my journey as an engineering student and community builder, I have seen how access to knowledge, mentorship, and supportive communities can transform lives. PyTorch has become one of the most influential frameworks in modern AI development, and I am excited about the opportunity to help more students, researchers, and developers discover its potential.
As an Ambassador, I hope to bridge the gap between global AI advancements and local communities by promoting AI literacy, supporting new learners, encouraging open source participation, and creating opportunities for collaboration.
In practical terms, I aim to directly engage over 500 learners across Nigeria and West Africa through workshops, webinars, and university outreach programs, while mentoring at least 100 students in AI and open source development using PyTorch. I also plan to contribute to growing a community of at least 50 active learners and contributors who can consistently engage with PyTorch-based projects and resources.
I am particularly motivated by the opportunity to inspire young Africans who may not have direct access to advanced AI resources but possess the talent and determination to contribute meaningfully to the ecosystem. By serving as an Ambassador, I can help create structured pathways that enable at least 20 to 30 new contributors from my network to make their first open source contributions within the PyTorch ecosystem.
My long term goal is to contribute to building a stronger AI ecosystem across Africa where students, researchers, developers, and innovators can learn, collaborate, and create solutions that address real world challenges. I also aim to drive a measurable 30 to 40 percent increase in AI and PyTorch awareness within the communities I actively engage over the course of my Ambassador term.
</t>
  </si>
  <si>
    <t>Stream on YouTube, Twitch &amp; X
- https://www.youtube.com/@cataluna84
- https://www.twitch.tv/cataluna84
- https://x.com/cataluna84
&lt;hr&gt;
Did you know Cohere Labs open science community hosts 30+ events each month across a variety of ML Subfields? 🤩 
One of them is the Computer Vision Subfield where I am the lead, which happens twice a month — https://luma.com/CLComputerVision
HomePage - https://sites.google.com/cohere.com/coherelabs-community/community-programs/computer-vision
&lt;hr&gt;
List of old projects is at this gist — https://gist.github.com/cataluna84/780f326bbbe91ff4674bcc5dfd2e51d8 
&lt;hr&gt;
You can find the details of all the book-reading and research-paper reading &amp; implementation sessions on X and LinkedIn.
Example of one such series is https://sites.google.com/cohere.com/coherelabs-community/community-programs/birds/llm-cohort</t>
  </si>
  <si>
    <t xml:space="preserve">As a PyTorch Foundation Ambassador, I would contribute to the growth of the PyTorch ecosystem across Nigeria and Africa through measurable community engagement, education, mentorship, and advocacy initiatives.
My goals during the Ambassador term include:
Organize at least 12 AI and PyTorch focused workshops, webinars, and community learning sessions, reaching over 500 students, developers, and researchers.
Introduce more than 300 new learners to PyTorch through university outreach programs, technical bootcamps, and online learning communities.
Create and publish at least 30 educational resources including tutorials, technical articles, project walkthroughs, videos, and social media content focused on PyTorch applications.
Mentor and support at least 100 students and early career developers in AI development, open source contribution, and technical project building.
Facilitate the onboarding of 50+ new contributors into open source AI communities and guide them toward their first meaningful contributions.
Build collaborations with at least 10 universities, student organizations, and technology communities to expand PyTorch awareness and adoption.
Showcase practical applications of PyTorch through engineering, robotics, computer vision, sustainability, and automation projects, demonstrating real world use cases to diverse audiences.
Support and participate in hackathons, innovation challenges, and community events that encourage hands on AI development and collaborative learning.
Promote diversity, accessibility, and inclusion initiatives aimed at increasing participation from underrepresented groups in AI and open source communities.
Through these efforts, I aim to achieve:
A 40% increase in awareness of PyTorch within the communities I directly engage.
A 30% increase in participation in AI focused community activities across my network.
A 25% increase in student involvement in open source and AI related projects.
The development of a sustainable network of PyTorch learners, educators, and contributors across Nigeria and West Africa.
My ultimate objective is to help cultivate the next generation of AI builders, researchers, and open source contributors while strengthening the PyTorch ecosystem throughout Africa.
</t>
  </si>
  <si>
    <t>Very early-stage applicant with GitHub account only 1 year old and all 32 repos at 0 stars. "Founded CeryxAI" no repo found. Claims familiarity with vLLM, DeepSpeed, Safetensors with no evidence. HuggingFace models have near-zero downloads. Not ready for ambassador role.</t>
  </si>
  <si>
    <t>I am a Mechatronics Engineering student at the Federal University of Technology, Minna, with active experience in AI, robotics, embedded systems, blockchain, and community leadership.
Over the past years, I have built and contributed to multiple technical and community focused initiatives across Africa’s student and innovation ecosystem. My experience spans engineering projects, community management, technical education, and youth mentorship.
Key technical and engineering projects include:
• Smart Fire Detection and Automatic Extinguishing System using embedded systems and sensors
• WiFi Controlled Surveillance Car using ESP32, Arduino IDE, and Python integration
• Smart Concrete Mix Ratio Verification System integrating sensors, ESP32, and embedded intelligence
• PID Controlled Mass Spring Damper System simulation using MATLAB Simulink
• Learning Management System built with Dart and Python focusing on performance optimization and usability
These projects demonstrate my interest in combining AI, embedded systems, and intelligent automation to solve real world engineering problems.
Community and leadership experience:
• Served in community leadership and management roles across multiple Web3 and tech communities, including LiquidityFinanC, MetaVerseFinanc, KRYPTOLITE, and DNDGAMEFI
• Actively involved in managing and engaging communities across Discord, Telegram, X, LinkedIn, Instagram, Facebook, and Reddit
• Trained and mentored over 100 students in AI, robotics, blockchain, and emerging technologies
• Supported student onboarding, engagement strategies, and technical education initiatives within learning communities
• Participated in hackathons, innovation challenges, and youth focused technology programs including the 3MTT showcase
Outreach and impact activities:
• Organized and supported peer learning sessions and technical discussions in student communities
• Shared scholarships, fellowship opportunities, and technical resources to help students access global programs
• Actively involved in sustainability and impact projects such as EduCarbon and Solid Waste Management initiatives in Minna, aligned with SDGs 4, 11, and 13
Technical engagement and platforms:
GitHub: https://github.com/Elontim
LinkedIn: https://www.linkedin.com/in/ayoola-timilehin-israel
X (Twitter): https://x.com/Elontim
My long term focus is to continue building at the intersection of AI, robotics, and community driven education, with the goal of contributing to scalable solutions that empower young people and underserved communities across Africa.</t>
  </si>
  <si>
    <t>Strongly Recommend</t>
  </si>
  <si>
    <t>Demonstrates sustained PyTorch-ecosystem research, reproducible projects, community leadership, workshops, and public technical worklogs. The Ambassador plan credibly extends established mentoring and events into structured Foundation-project advocacy.</t>
  </si>
  <si>
    <t>aisandhya</t>
  </si>
  <si>
    <t xml:space="preserve">Sandhya
</t>
  </si>
  <si>
    <t xml:space="preserve">Vancouver, BC, CANADA
</t>
  </si>
  <si>
    <t>PYtorch community manager seems like  aself appointed role. Very few details. Linkedin PyTorch posts are real but most work is in web3 nft domain.</t>
  </si>
  <si>
    <t xml:space="preserve">https://www.linkedin.com/in/sandhya-ai/
</t>
  </si>
  <si>
    <t xml:space="preserve">Since joining the PyTorch community three months ago, I have actively explored opportunities to make meaningful open-source contributions. As an Ambassador, I hope to extend that impact through research, teaching, mentorship, and community leadership, helping others while advancing the PyTorch ecosystem.
*Initially I joined with other email account but would like to continue with the one I am submitting application today.
</t>
  </si>
  <si>
    <t xml:space="preserve">I aim to educate and challenge young graduates to turn their innovative thinking into impact, and not settle for disappointments in repetitive jobs that no longer define the future.
</t>
  </si>
  <si>
    <t xml:space="preserve">I am mainly interested in regularly contributing to "Technical advocacy",  "Mentoring contributors", "Educational outreach" and occasionally  Organizing community events contributing though meaningful and impactful "Content creation" to Support global AI communities.
</t>
  </si>
  <si>
    <t xml:space="preserve">CANADA
</t>
  </si>
  <si>
    <t>Since I am in Canada, I choose it, however my purpose is to spread knowledge and influence people to actively contribute to PyTorch research. I am grateful to previous AI Head of Google, Laurence Moroney to guide me to join PyTorch community when I discussed my desire to contribute to large size open source.</t>
  </si>
  <si>
    <t>HamzaJavaid-gh</t>
  </si>
  <si>
    <t xml:space="preserve">Hamza Javaid
</t>
  </si>
  <si>
    <t xml:space="preserve">Munich, Germany
</t>
  </si>
  <si>
    <t xml:space="preserve">https://www.linkedin.com/in/javaid-hamza/
</t>
  </si>
  <si>
    <t xml:space="preserve">https://x.com/JdHamza42
</t>
  </si>
  <si>
    <t xml:space="preserve">https://scholar.google.com/citations?user=HaUmxkoAAAAJ&amp;hl=en
</t>
  </si>
  <si>
    <t xml:space="preserve">- [x] Open source contributions
- [x] Technical content creation
- [ ] Community leadership
- [x] Events or workshops
- [x] Research or academic work
- [x] Mentorship
- [ ] University or student outreach
- [x] Translation or localization efforts
- [ ] Other
</t>
  </si>
  <si>
    <t>Strong record of teaching, competition support, and mentoring 45 NLP hackathon teams, with relevant applied PyTorch experience. The proposed regional program is useful, though its activity targets and PyTorch-specific public materials could be more concrete.</t>
  </si>
  <si>
    <t xml:space="preserve">I've been active user of PyTorch for more than 7 years now, I remember training VGG, ResNet in my early career for custom image classification. 
Along the way, I've used PyTorch for countless applications ranging from Sports Analytics to uplift athlete performance, Content Authenticity Policy Networks for Deepfake Detection and many others that increased user trust in the digital era we are living in. 
Some of my contributions are mentioned here.
1- I spent a month in PyTorch community forums and achieved User of the Month. I wish I could find more time to engage with my fellow torch buddies so we grow and learn together. I hope now is the time
https://discuss.pytorch.org/badges/44/new-user-of-the-month?username=hamza_javaid
2- I spent years in building deep networks and some of my early years research was also in PyTorch
https://scholar.google.com/citations?user=HaUmxkoAAAAJ&amp;hl=en
</t>
  </si>
  <si>
    <t xml:space="preserve">I've spent years in training (now fine-tuning) deep networks from VGG to BERT across modalities vision, speech and multimodal data. Throughout this journey, PyTorch has been my companion and I never thought of leaving it. I never found enough time to engage in more community activities so far, so this time I really would like to step out of my room and help my fellow devs to think beyond limits what they can do with PyTorch based on years of my work in silos. 
This opportunity is really exciting for me to meet with fellow devs, build community in Munich and engage in social activities with a one major motive - Torch for Everything &amp; Everyone. 
</t>
  </si>
  <si>
    <t xml:space="preserve">I would like to organize community events but not just an event for the sake of having event. My main goal would be to have like minded people in the same room so they can discuss ideas, connect with problems they run with bindings, versions so they relate with each other with a common goal. 
Community event for Vision Engineers - I would love to 
Community event for Speech/Acoustic Engineers - How they can use torchaudio
Community event for Pre-training - How they can train 20B+ model with distributed training
At the same time, I would also love to host industry leaders, vision scientist present in DACH region to show their work what they have achieved with PyTorch and it would be inspiring to listen to them for all the community and everyone would feel connected in the end. 
This opportunity would provide a forum for me with a responsible authority to shape the connection that I felt and constantly feeling whenever I run in some issue with torch and the feeling of solving it together with my community would make me a lot happier than now. 
</t>
  </si>
  <si>
    <t xml:space="preserve">Germany
</t>
  </si>
  <si>
    <t>NA</t>
  </si>
  <si>
    <t>Genuine PyTorch technical expertise (from-scratch transformer implementation, research publications). Community involvement limited to forum participation (User of Month badge). No OSS contributions to Foundation projects, no community organizing history. Ambassador plan for Munich is passionate and specific but entirely aspirational. Has technical credibility but lacks community engagement evidence.</t>
  </si>
  <si>
    <t>lowest effort application. no evudence of anything.</t>
  </si>
  <si>
    <t>Thanatos9404</t>
  </si>
  <si>
    <t xml:space="preserve">Yashvardhan Thanvi
</t>
  </si>
  <si>
    <t xml:space="preserve">Jaipur, Rajasthan, India
</t>
  </si>
  <si>
    <t xml:space="preserve">https://github.com/Thanatos9404
</t>
  </si>
  <si>
    <t xml:space="preserve">https://www.linkedin.com/in/yashvardhan-thanvi-2a3a661a8/
</t>
  </si>
  <si>
    <t xml:space="preserve">- [x] Open source contributions
- [x] Technical content creation
- [ ] Community leadership
- [x] Events or workshops
- [x] Research or academic work
- [ ] Mentorship
- [x] University or student outreach
- [ ] Translation or localization efforts
- [ ] Other
</t>
  </si>
  <si>
    <t xml:space="preserve">I am an AI/ML undergraduate student at BIT Mesra (Jaipur Off-Campus) with 
hands-on experience building PyTorch-powered applications, research projects, 
and community-driven tools.
**Key Contributions:**
- **Krishyak — AI Farmer Decision Support Platform:** Built an end-to-end 
  agricultural AI platform leveraging PyTorch-based ML models for crop 
  recommendation, disease detection, and yield prediction. The platform 
  addresses real-world challenges for farmers in rural India using computer 
  vision and NLP components trained with PyTorch.
  🔗 https://github.com/Thanatos9404/Krishyak
- **DRDO Research Internships (CAIR, Bangalore &amp; SAG Lab, Delhi):** Selected 
  for research internships at two DRDO labs, where AI/ML model development 
  (including PyTorch-based pipelines) forms a core part of the technical work.
- **Hackathon Participation:** Actively participated in multiple national-level 
  hackathons building ML-powered solutions, demonstrating applied use of 
  PyTorch for rapid prototyping and deployment.
- **Student Community Outreach:** Engaged with peers at BIT Mesra to share 
  knowledge on ML frameworks, tools, and best practices, effectively acting as 
  an informal PyTorch advocate on campus.
- **Kaggle &amp; Open Datasets:** Applied PyTorch models on agricultural and 
  real-world datasets, contributing to the broader ML learning ecosystem.
**Measurable Impact:**
- Built AI tools reaching farmers across Rajasthan (Krishyak platform)
- Mentored 10+ fellow students in ML fundamentals and PyTorch usage
- Represented student developers in 3+ hackathons with ML-focused submissions
</t>
  </si>
  <si>
    <t xml:space="preserve">I come from Jaipur, Rajasthan, a region where access to cutting-edge AI 
education and mentorship is limited compared to metro tech hubs. PyTorch has 
been central to every meaningful ML project I've built, from agricultural AI 
tools to research work at DRDO labs.
Having served as a Google Gemini Student Ambassador (2025) and AWS Student 
Builder Campus Leader (2026), I have firsthand experience building and sustaining 
technical communities at the campus level, organizing workshops, onboarding 
beginners, and advocating for developer tools among student audiences.
I want to become a PyTorch Ambassador to bridge the gap between world-class 
AI frameworks and student communities in Tier-2 and Tier-3 cities across India. 
My journey ,from a non-traditional background to building production AI systems, 
securing DRDO research internships, reaching the NASA Space Apps Challenge Global 
Finals, and leading developer communities, gives me both credibility and a 
relatable story to inspire underrepresented students in the AI ecosystem.
</t>
  </si>
  <si>
    <t xml:space="preserve">As a PyTorch Foundation Ambassador, I would focus on:
1. **Campus Workshops &amp; Study Groups:** Drawing from my experience as a Google 
   Gemini Student Ambassador (2025) and AWS Student Brand Campus Leader (2026), 
   I will organize structured PyTorch workshops at BIT Mesra and partner colleges 
   across Rajasthan, from tensor fundamentals to training production-ready models.
2. **Technical Content Creation:** Write accessible blogs, tutorials, and project 
   walkthroughs (in English and Hindi) showcasing PyTorch in agriculture, 
   healthcare, and social impact domains.
3. **AgriTech + AI Showcase:** Leverage Krishyak, my AI farmer decision-support 
   platform and a NASA Space Apps Challenge Global Finals nominee — as a live 
   demonstration of PyTorch powering real-world, socially impactful applications.
4. **Hackathon Mentorship:** Guide student teams at regional hackathons in 
   adopting PyTorch, providing hands-on technical support during competitions.
5. **Regional Community Growth:** Build a PyTorch user group for students and 
   developers in Rajasthan, a region underrepresented in the global ML 
   open-source community.
6. **Open Source Onboarding:** Help first-time contributors navigate PyTorch 
   GitHub repositories and lower the barrier to open source participation 
   for Indian students.
</t>
  </si>
  <si>
    <t>**Ambassador &amp; Leadership Experience:**
- Google Gemini Student Ambassador (2025) — organized AI/ML workshops and 
  advocated Gemini developer tools across campus communities
- AWS Student Builder Campus Leader (SBCL) 2026 — led AWS cloud and AI 
  community initiatives at campus level
- NASA Space Apps Challenge — Global Finals Nominee — among top teams 
  worldwide for building an AI-powered solution addressing a real-world challenge
**Research &amp; Technical Work:**
- Research Intern at DRDO SAG New Delhi (Defense AI/ML research)
- Built Krishyak: full-stack PyTorch-based agricultural AI platform targeting 
  smallholder farmers in rural Rajasthan
GitHub: https://github.com/Thanatos9404</t>
  </si>
  <si>
    <t>Shows extensive student-community leadership, event participation, and outreach in Sri Lanka, with a credible plan to use those networks for PyTorch education. Direct PyTorch-specific technical contribution and demonstrated technical content are less substantiated.</t>
  </si>
  <si>
    <t xml:space="preserve">The nominee's central project claim , that Krishyak is "built on PyTorch-based ML models"  is directly contradicted by the codebase, which uses TensorFlow/Keras exclusively with zero PyTorch imports. This is a false claim. No PRs to any Foundation project. No PyTorch code found across any of the 22 repos. The falsified technical claims significantly undermine credibility. Cannot recommend.
</t>
  </si>
  <si>
    <t>Cybersecurity community builder. No ML ot PyTorch experience. Does not demonstrate readiness for a PyTorch ambassador.</t>
  </si>
  <si>
    <t>Contribution description is literally "Not." Zero public repos, zero PRs, zero code. GitHub bio identifies as "Web3 Content Writer" with no AI/ML background. Does not meet any criteria for the Ambassador program.</t>
  </si>
  <si>
    <t>avishdhawan-prog</t>
  </si>
  <si>
    <t xml:space="preserve">Avish Dhawan 
</t>
  </si>
  <si>
    <t>Compelling evidence of Foundation engagement through vLLM-Omni contributions, PyTorch Blog Review Board service, PyTorch Conference speaking, and public technical demos. A proven Madrid community organizer with a specific plan to establish PyTorch Madrid and mentor contributors.</t>
  </si>
  <si>
    <t xml:space="preserve">Pune , india
</t>
  </si>
  <si>
    <t>YashwantkumarPolaki</t>
  </si>
  <si>
    <t xml:space="preserve">Yashwant Kumar Polaki
</t>
  </si>
  <si>
    <t xml:space="preserve">Chennai, Tamil Nadu, India
</t>
  </si>
  <si>
    <t xml:space="preserve">https://github.com/yashwantkumarpolaki
</t>
  </si>
  <si>
    <t xml:space="preserve">https://www.linkedin.com/in/yashwant-kumar-polaki-2a1215367/
</t>
  </si>
  <si>
    <t xml:space="preserve">As I am an student I want to explore pytorch more and gain some experience and hands-on pn it
</t>
  </si>
  <si>
    <t xml:space="preserve">- [x] Community Building
- [x] Technical Education
- [x] Open Source Contributions
- [x] Research &amp; Academia
- [ ] Developer Advocacy
- [ ] Mentorship
- [ ] Events &amp; Workshops
- [ ] Content Creation
- [x] Regional Community Growth
- [ ] Other
</t>
  </si>
  <si>
    <t xml:space="preserve">Yashwant Kumar Polaki is a 2nd-year B.Tech CSE (AI &amp; ML) student at 
SRM Institute of Science and Technology, Chennai, and the founder of 
NeuraMorphix — a biological pattern similarity and explainable health 
awareness platform built entirely on PyTorch.
**PyTorch Usage in NeuraMorphix:**
NeuraMorphix uses a custom PyTorch autoencoder trained on NHANES 
population health data to generate latent health embeddings. Cosine 
similarity over these embeddings powers the platform's core "biological 
pattern matching" engine. SHAP explainability is layered on top of the 
PyTorch model to generate human-readable health narratives via the 
Gemini API.
Tech stack: PyTorch (autoencoder) → Weaviate (vector DB) → FastAPI → 
React → Netlify
**MediAI (IEEE Project Expo 2026):**
Built an AI healthcare chatbot with Bayesian symptom classification and 
SHAP explainability, presented at SRM Project Expo 2026. Co-authored 
IEEE paper on AI-assisted health diagnostics.
**Brain Tumor Classification:**
Built EfficientNetB3 + MobileNetV2 ensemble model in PyTorch/Keras on 
the SARTAJ Kaggle dataset, targeting 95–99% test accuracy.
**NeuraMorphix HackForge 2026:**
Organizing a hackathon on Unstop under YKP Publications focused on 
AI + health tech innovation — directly building the PyTorch/ML 
community at SRM campus.
Supporting links:
- LinkedIn: https://www.linkedin.com/in/yashwant-kumar-polaki-2a1215367/
- GitHub: [your GitHub URL]
</t>
  </si>
  <si>
    <t xml:space="preserve">PyTorch is not just a tool I use — it is the backbone of NeuraMorphix, 
my health-tech startup. I chose PyTorch for its dynamic computation 
graph and ease of experimenting with autoencoder architectures for 
health data. As someone building real-world healthcare AI as a 1st-year 
student in India, I want to bridge the gap between PyTorch's global 
ecosystem and the massive, underrepresented student developer community 
across Indian universities.
India has 1.5M+ engineering graduates annually, most of whom never 
encounter PyTorch until placement prep. I want to change that — through 
workshops, open-source contributions, and community building starting 
at SRM KTR and expanding across Chennai's tech campus belt.
</t>
  </si>
  <si>
    <t xml:space="preserve">1. Campus Workshops: Run hands-on PyTorch sessions at SRM KTR covering 
   autoencoders, CNNs, and model explainability — targeting 100+ 
   students per semester.
2. HackForge Integration: Include a dedicated PyTorch track in 
   NeuraMorphix HackForge 2026, encouraging participants to build 
   health-tech solutions using PyTorch.
3. Technical Content: Publish PyTorch tutorials on LinkedIn and GitHub 
   focused on healthcare AI use cases (medical imaging, tabular health 
   data, SHAP explainability).
4. Open Source: Contribute to PyTorch documentation and beginner-friendly 
   issues, with a focus on making health-data workflows more accessible.
5. Regional Growth: Build a PyTorch user group across Chennai-area 
   engineering colleges (SRM, VIT Chennai, SSN, Anna University).
</t>
  </si>
  <si>
    <t>Claims NeuraMorphix "built entirely on PyTorch" but this repo does not exist publicly. Zero PyTorch code across 30 repos. MedAi is a rule-based API, not ML. Application contains unfilled placeholder link. Account &lt; 1 year old with 0 followers. 2nd-year student with no verifiable PyTorch experience.</t>
  </si>
  <si>
    <t>aatizghimire</t>
  </si>
  <si>
    <t xml:space="preserve">Aatiz Ghimire
</t>
  </si>
  <si>
    <t>MostafaAI10</t>
  </si>
  <si>
    <t xml:space="preserve">Mostafa Abdelhamed
</t>
  </si>
  <si>
    <t xml:space="preserve">Egypt, Cairo
</t>
  </si>
  <si>
    <t xml:space="preserve">https://github.com/aatizghimire
</t>
  </si>
  <si>
    <t xml:space="preserve">https://github.com/MostafaAI10
</t>
  </si>
  <si>
    <t xml:space="preserve">https://www.linkedin.com/in/aatizghimire/
</t>
  </si>
  <si>
    <t xml:space="preserve">www.linkedin.com/in/mostafa-abdelhamed-88a447286
</t>
  </si>
  <si>
    <t xml:space="preserve">- [ ] Open source contributions
- [ ] Technical content creation
- [x] Community leadership
- [x] Events or workshops
- [x] Research or academic work
- [x] Mentorship
- [x] University or student outreach
- [ ] Translation or localization efforts
- [ ] Other
</t>
  </si>
  <si>
    <t>active campus ambassador but no PyTorch foundation project experience. claims PyTorch familiarity but zero experience</t>
  </si>
  <si>
    <t>Mostafa Abdelhamed Mahmoud is an aspiring AI and Data Science Engineer with strong involvement in AI research, technical communities, and educational initiatives related to machine learning and deep learning technologies, including frameworks within the PyTorch ecosystem. His work combines technical development, leadership, mentorship, and community engagement through both academic and professional activities.
As the R&amp;D Team Leader at the IEEE AESS Student Branch and the General Coordinator of the IEEE branch at Elsewedy University of Technology, Mostafa has played an active role in organizing and leading technical initiatives focused on artificial intelligence, machine learning, computer vision, and data science. He has contributed to building a collaborative learning environment where students and early-stage engineers gain hands-on exposure to AI technologies and practical development workflows.
Mostafa has participated in multiple AI-related research and development activities, including projects involving machine learning model development, NLP applications, and computer vision systems. His technical work often relies on modern deep learning methodologies commonly associated with the PyTorch ecosystem, particularly in experimentation, model training, and research-oriented workflows.
In addition to technical contributions, he has demonstrated strong leadership and mentorship capabilities by supporting junior students and team members in understanding AI concepts, project implementation, and research methodologies. Through IEEE activities, workshops, and collaborative projects, he has helped guide students in practical AI development and encouraged participation in scientific competitions and innovation programs.
His community engagement extends internationally through his role as an ambassador for IEEE YESIST12 India and participation in global youth and scientific initiatives such as the World Youth Forum and the Arab Youth Summit. These experiences have strengthened his advocacy for accessible AI education, cross-cultural collaboration, and technology-driven innovation.
Mostafa has also contributed to research collaborations with academic teams and professors, further expanding his involvement in AI-focused research activities and technical problem-solving environments.
Examples of measurable impact include:
Leadership and coordination of multiple IEEE technical and scientific activities
Mentorship and technical support for student teams and junior contributors
Organization and participation in AI-related workshops, events, and competitions
Active involvement in student community growth and research collaboration initiatives
Contribution to educational and technical awareness initiatives in AI and Data Science
Supporting Links (examples to include):</t>
  </si>
  <si>
    <t xml:space="preserve">As a lecturer and High-Performance Computing (HPC) Research Engineer, my contributions center on building scalable AI infrastructure and democratizing deep learning education in Nepal. At the Tribhuvan University Supercomputing Center (TU-HPC), I manage GPU clusters and develop systems that enable advanced AI research. A major focus of my technical work involves adapting Large Language Models (LLMs) for low-resource languages, specifically Nepali, which requires extensive use of open-source frameworks for custom tokenization and efficient fine-tuning on single-GPU systems.
Beyond research, I am deeply committed to curriculum development and student outreach. I actively integrate deep learning and distributed AI into academic programs and am currently spearheading an initiative to train 2,000 students in accelerated data science, deep learning, and CUDA. My goal is to lower the barrier to entry for applied machine learning by guiding students from foundational concepts to practical, infrastructure-level implementation.
Impact &amp; Metrics:
Mentorship &amp; Education: Leading an initiative to train 2,000 students in accelerated AI and data science, alongside developing university syllabi for LLM, GenAI and distributed AI.
Infrastructure Leadership: Administering TU-HPC, optimizing Slurm, InfiniBand, and heterogeneous GPU setups (NVIDIA/AMD) for academic workloads.  [TU Super Computing Center](https://hpc.tu.edu.np/)
Research &amp; Publication: Presented peer-reviewed research, including "Cost-effective Deep Learning Infrastructure with NVIDIA GPU" at the National Data and Computing Conference. [NDC2024](https://journals.ku.edu.np/kuset/article/view/587)
Technical Contributions: Developed HPC workflow code to work on LLM &amp; GenAI in TU-HPC. [Running Jupyter on HPC](https://github.com/amrltu/jupyter-on-hpc), [HPC Container build](https://github.com/aatizghimire/hpc-container-build)
</t>
  </si>
  <si>
    <t xml:space="preserve">Operating from Kathmandu, I see firsthand the immense potential of our local engineering talent, but also the challenges in accessing high-level computational resources and global open-source communities. My primary motivation for becoming an Ambassador is to actively bridge this gap.
I want to advocate for robust AI infrastructure in developing academic regions and elevate the visibility of South Asian contributors. By serving as an Ambassador, I aim to connect our growing local community with the global PyTorch ecosystem, accelerating innovation in crucial areas like low-resource language modeling and cost-effective deep learning deployment. I am driven by the belief that equipping students with accessible, top-tier open-source tools is the fastest way to drive regional technological growth.
</t>
  </si>
  <si>
    <t>The applicant is candid about having no direct PyTorch contribution. General marketing and content experience may be transferable, but the application lacks PyTorch-specific evidence, technical examples, and a sufficiently concrete delivery plan.</t>
  </si>
  <si>
    <t xml:space="preserve">My focus will merge technical education, infrastructure advocacy, and regional community expansion:
Educational Outreach: I will leverage my position as a lecturer to integrate PyTorch-centric workflows into university curricula, specifically utilizing my upcoming initiative to train 2,000 students to create a massive pipeline of new PyTorch users and contributors.
Technical Advocacy: Drawing from my experience managing TU-HPC, I will advocate for PyTorch's capabilities in high-performance, multi-GPU environments, creating tutorials and content around deploying PyTorch on heterogeneous GPU clusters and virtualization platforms like Proxmox, Openshift.
Regional Community Growth: I plan to organize workshops and technical meetups in Nepal, focusing on practical AI applications, infrastructure optimization, and open-source contribution pathways for students.
Research Mentorship: I will mentor students in developing open-source models, specifically focusing on adapting LLMs for underrepresented languages and optimizing efficient fine-tuning techniques.
</t>
  </si>
  <si>
    <t xml:space="preserve">Mostafa Abdelhamed Mahmoud is motivated to become a PyTorch Foundation Ambassador because he strongly believes in the power of open-source AI communities to accelerate innovation, education, and global collaboration. As an aspiring AI and Data Science Engineer with experience in machine learning, NLP, and computer vision, he has seen how frameworks within the PyTorch ecosystem empower students, researchers, and developers to transform ideas into impactful real-world solutions.
Through his leadership roles in IEEE and student communities, Mostafa has consistently worked to make AI knowledge more accessible to young engineers and students. He is passionate about creating learning environments where individuals can gain practical experience in deep learning, research, and AI development regardless of their background or resources. Becoming a PyTorch Foundation Ambassador would allow him to expand this mission on a larger scale by contributing to a global community focused on open collaboration and technical excellence.
Mostafa is particularly motivated by:
Supporting the growth of AI education and hands-on deep learning learning opportunities
Encouraging students and early-career developers to contribute to open-source ecosystems
Building stronger AI communities in Egypt and the MENA region
Organizing workshops, technical sessions, and educational initiatives around PyTorch-related technologies
Bridging the gap between academic learning and real-world AI applications
Promoting responsible and impactful AI innovation through collaborative communities
His experience leading IEEE initiatives, mentoring peers, participating in scientific competitions, and contributing to research activities has strengthened his commitment to community-driven technology development. He views the PyTorch Foundation not only as a technical ecosystem but also as a platform that enables knowledge sharing, mentorship, and inclusive innovation worldwide.
As a PyTorch Foundation Ambassador, Mostafa aims to actively contribute by organizing educational events, supporting new contributors, sharing technical content, collaborating with global AI communities, and helping more students and developers discover opportunities within the PyTorch ecosystem.
</t>
  </si>
  <si>
    <t xml:space="preserve">- [ ] Community Building
- [x] Technical Education
- [ ] Open Source Contributions
- [x] Research &amp; Academia
- [ ] Developer Advocacy
- [x] Mentorship
- [x] Events &amp; Workshops
- [ ] Content Creation
- [ ] Regional Community Growth
- [ ] Other
</t>
  </si>
  <si>
    <t xml:space="preserve">As a PyTorch Foundation Ambassador, I would contribute by combining his technical background, leadership experience, and passion for community building to help expand the reach and impact of PyTorch Foundation projects and initiatives.
Through his leadership roles within IEEE student activities and university organizations, Mostafa has already demonstrated the ability to organize technical events, coordinate teams, and build active learning communities. He would use this experience to organize workshops, technical sessions, AI bootcamps, and community meetups focused on PyTorch, deep learning, machine learning, NLP, and computer vision applications.
His contributions as an ambassador would include:
Organizing local and regional AI community events focused on PyTorch technologies and open-source AI development
Conducting educational workshops and hands-on training sessions for students and early-career engineers
Mentoring students and beginner contributors in AI, machine learning, and research-oriented development workflows
Encouraging participation in open-source communities and guiding contributors on collaborative development practices
Creating educational and technical content such as tutorials, presentations, project walkthroughs, and AI learning resources
Promoting PyTorch Foundation projects within university communities, IEEE networks, and student organizations
Supporting interdisciplinary collaboration between researchers, developers, and students interested in AI technologies
Advocating for accessible AI education and helping underrepresented communities gain exposure to modern deep learning tools
Mostafa’s background in machine learning, NLP, computer vision, and AI research enables him to bridge theoretical knowledge with practical implementation. His experience participating in scientific competitions, research collaborations, and international youth and innovation initiatives further strengthens his ability to represent and grow the PyTorch community in both academic and professional environments.
Additionally, as General Coordinator of the IEEE branch at his university and Vice President of the Student Union, he has experience managing large-scale student engagement activities and fostering collaborative technical environments. He intends to leverage these networks to increase awareness of PyTorch Foundation projects and inspire more students and developers to become active contributors to the open-source AI ecosystem.
By serving as a PyTorch Foundation Ambassador, Mostafa aims to help create a stronger, more connected AI community that encourages innovation, knowledge sharing, mentorship, and meaningful technical collaboration at both the local and global levels.
</t>
  </si>
  <si>
    <t xml:space="preserve">- [ ] Community Building
- [ ] Technical Education
- [x] Open Source Contributions
- [x] Research &amp; Academia
- [ ] Developer Advocacy
- [ ] Mentorship
- [x] Events &amp; Workshops
- [x] Content Creation
- [ ] Regional Community Growth
- [ ] Other
</t>
  </si>
  <si>
    <t>Genuine community organizer in underrepresented region (Nepal). Organized PyTorch meetups in 2025 and 2026, manages HPC infrastructure at Tribhuvan University. No code contributions to Foundation projects but does not claim any. Communication evidence limited to meetup slides and one conference paper. Regional value is real but evidence base is early-stage.</t>
  </si>
  <si>
    <t>Ronlin1</t>
  </si>
  <si>
    <t xml:space="preserve">Ronnie Atuhaire
</t>
  </si>
  <si>
    <t xml:space="preserve">Kampala, Uganda
</t>
  </si>
  <si>
    <t xml:space="preserve">https://github.com/Ronlin1
</t>
  </si>
  <si>
    <t xml:space="preserve">https://www.linkedin.com/in/ronnie-linslay-atuhaire-116108bb/
</t>
  </si>
  <si>
    <t xml:space="preserve">https://twitter.com/AfroBoyUg
</t>
  </si>
  <si>
    <t xml:space="preserve">https://atuhaire.com/community
</t>
  </si>
  <si>
    <t>devxMani</t>
  </si>
  <si>
    <t xml:space="preserve">mani
</t>
  </si>
  <si>
    <t xml:space="preserve">https://github.com/devxMani
</t>
  </si>
  <si>
    <t xml:space="preserve">https://www.linkedin.com/in/mani-7b5058253/
</t>
  </si>
  <si>
    <t xml:space="preserve">Ronnie Atuhaire has made significant contributions to the AI and developer communities, particularly within the African context, demonstrating a strong aptitude for community leadership, technical education, and practical application of advanced technologies. His involvement, while not always directly under the PyTorch umbrella, showcases a robust foundation of skills and experience directly transferable to the responsibilities of a PyTorch Ambassador.
**Key Contributions and Evidence:**
- Community Leadership and Event Organization: Ronnie has a proven track record of initiating and scaling impactful tech events. As the Founder and Lead Organizer of AIFest Uganda, he successfully brought together over 300 participants for a premier AI conference, fostering knowledge exchange and networking within the local AI ecosystem. He has also been a key Co-Organizer for Google DevFest and BlockchainDevFest, annual conferences attracting 400-500+ attendees, where he has consistently advocated for and educated on cutting-edge technologies, including AI and machine learning frameworks. His leadership roles as a GDG On Campus Lead, IEEE Chair, and Founding President of the Web3 Club at Makerere University further highlight his ability to build and sustain thriving technical communities. These efforts have directly contributed to the growth and upskilling of thousands of developers and students in Uganda.
- Technical Work and Mentorship: Through Udata Labs, where he serves as Founder and Research Director, Ronnie leads AI research focused on climate technology, energy systems, and social impact. His projects, such as ZulaAI (an AI agentic opportunity hunter) and Kakaati (an AI-powered disaster warning system), demonstrate hands-on experience in developing and deploying AI solutions. While these projects may utilize various AI frameworks, the underlying principles of model development, data processing, and deployment are directly relevant to PyTorch. He actively mentors over 100 developers, guiding them in their technical journeys and encouraging the adoption of robust development practices.
- Content Creation and Advocacy: Ronnie contributes as a Technical Writer for Dignited, regularly publishing articles on AI, Web3, and computing. This demonstrates his ability to create accessible and informative content that educates a broad audience on complex technical topics, a crucial skill for promoting PyTorch. His advocacy for open-source technologies and his commitment to empowering developers through knowledge sharing are evident across all his initiatives.
Supporting Link: https://atuhaire.com/community (Showcases community involvement and event organization)
</t>
  </si>
  <si>
    <t xml:space="preserve">Ronnie Atuhaire is deeply motivated to become a PyTorch Foundation Ambassador due to his profound belief in the transformative power of open-source AI frameworks and his commitment to democratizing access to advanced technology. As a techpreneur and research director operating in an emerging market, he has witnessed firsthand the impact that accessible, powerful tools like PyTorch can have on fostering innovation and solving critical local challenges. 
He is particularly drawn to PyTorch's flexibility, Pythonic interface, and robust ecosystem, which he believes are ideal for empowering developers and researchers in Africa to build cutting-edge AI solutions. His motivation is rooted in a desire to bridge the knowledge gap, accelerate AI adoption, and contribute to a global community that values collaborative development and impactful research. He sees the ambassadorship as a direct avenue to amplify his existing efforts in community building and technical education, aligning his passion for AI with PyTorch's mission.
</t>
  </si>
  <si>
    <t xml:space="preserve">- [x] Open source contributions
- [ ] Technical content creation
- [x] Community leadership
- [ ] Events or workshops
- [x] Research or academic work
- [ ] Mentorship
- [ ] University or student outreach
- [ ] Translation or localization efforts
- [ ] Other
</t>
  </si>
  <si>
    <t>prasoonmhwr</t>
  </si>
  <si>
    <t xml:space="preserve">As a PyTorch Foundation Ambassador, Ronnie Atuhaire would contribute significantly through a multi-faceted approach, leveraging his established networks and expertise:
**Local Community Building and Events:** He would actively build and foster local PyTorch communities in Uganda and across East Africa by organizing dedicated PyTorch-focused events. This includes workshops, study jams, and hackathons (e.g., integrating PyTorch into future "Dockerthon" events) that cater to various skill levels, from beginners to advanced practitioners. His experience with AIFest Uganda and Google DevFests provides a strong foundation for hosting engaging and impactful events, aiming to host at least one PyTorch-centric event per quarter.
**Educational Content Creation:** Ronnie would develop and disseminate high-quality educational content, including blog posts, tutorials, and video series, specifically tailored to showcase PyTorch's capabilities and best practices. This content would focus on practical applications relevant to emerging markets, such as AI for climate tech, healthcare, and financial inclusion, making PyTorch more accessible and demonstrating its real-world utility.
**Mentorship and Technical Advocacy:** He would continue to mentor students and emerging developers, guiding them in integrating PyTorch into their projects and research. Through his roles in various tech communities, he would actively advocate for PyTorch as the go-to framework for AI development, highlighting its advantages in research, prototyping, and deployment. He would also encourage contributions to PyTorch projects and participate in discussions on official PyTorch platforms.
</t>
  </si>
  <si>
    <t xml:space="preserve">My work has included building deployment-oriented AI workflows evaluation pipelines and developer-facing tooling while collaborating in fast-moving research and engineering environments.
</t>
  </si>
  <si>
    <t xml:space="preserve">Prasoon Mahawar
</t>
  </si>
  <si>
    <t xml:space="preserve">I want to become a PyTorch Foundation Ambassador because I genuinely enjoy building learning and contributing within open-source AI communities. PyTorch has become one of the most important ecosystems for modern AI research experimentation and deployment and I want to contribute more actively to the community around it.
</t>
  </si>
  <si>
    <t xml:space="preserve">As a PyTorch Foundation Ambassador I would contribute through technical content educational outreach open-source collaboration and community engagement. I’m interested in helping students and early contributors explore AI systems PyTorch workflows evaluation pipelines and modern deployment-oriented AI engineering through workshops tutorials blogs and community discussions.
</t>
  </si>
  <si>
    <t xml:space="preserve">https://github.com/prasoonmhwr
</t>
  </si>
  <si>
    <t>All Socials: https://atuhaire.com/connect
My Luma Events: https://luma.com/user/atuhaire
AIFest (Lead Organiser): https://aifestug.com/teams
Speaker Deck: https://speakerdeck.com/afroboy
Community Contributions: https://atuhaire.com/community
LinkedIn: https://www.linkedin.com/in/ronnie-linslay-atuhaire-116108bb/</t>
  </si>
  <si>
    <t xml:space="preserve">https://www.linkedin.com/in/prasoonmahawar/
</t>
  </si>
  <si>
    <t xml:space="preserve">https://x.com/prasoonmahawar
</t>
  </si>
  <si>
    <t xml:space="preserve">https://www.youtube.com/@prasoonmahawarYT
</t>
  </si>
  <si>
    <t xml:space="preserve">- [x] Open source contributions
- [x] Technical content creation
- [ ] Community leadership
- [ ] Events or workshops
- [x] Research or academic work
- [ ] Mentorship
- [x] University or student outreach
- [ ] Translation or localization efforts
- [ ] Other
</t>
  </si>
  <si>
    <t xml:space="preserve">- https://github.com/prasoonmhwr/fromScratch/tree/main/attentionIsAllYouNeed
- https://huggingface.co/prasoonmhwr/ai_detection_model
- [The Paper That Changed AI Forever — Built From Scratch in PyTorch](https://youtu.be/w5jCfXLh6_I?si=JM6RJMvssIW2UqP6)
- [The Transformer Learns to See — Coding ViT From Scratch in PyTorch](https://youtu.be/PAtDBkZz7zU?si=OR5HnxvSBsjjzdsH)
- https://prasoon-mahawar.dev/blogs
</t>
  </si>
  <si>
    <t xml:space="preserve">As a technical content creator and AI engineer, my goal has always been to demystify complex architectures and make cutting-edge machine learning accessible to developers worldwide. PyTorch is the undisputed backbone of modern AI research and production; it is the framework I natively build with and the one I am most passionate about teaching.
I want to become a PyTorch Foundation Ambassador to bridge the gap between the core engineering team and the global developer community by utilizing my distinct multi-channel content strategy across YouTube and X (Twitter).
My goal as an Ambassador is to drive the adoption of modern PyTorch ecosystem features through two distinct, high-impact approaches:
- Long-Form Visual Education (YouTube): I leverage video to demystify complex architectures, building practical, project-based walkthroughs (such as fine-tuning models and deploying production-ready AI pipelines). As an Ambassador, I will create dedicated tutorials on PyTorch optimizations, distributed training, and edge deployments, making advanced deep learning accessible and reducing the learning curve for aspiring AI engineers.
- Building in Public &amp; High-Signal Insights (X/Twitter): On X, my focus is on agility and community engagement. I plan to 'build in public' using PyTorch, sharing snackable code snippets, visual architecture breakdowns, and real-time updates on the Foundation’s latest initiatives. This allows me to foster active developer discussions, highlight community-driven open-source projects, and champion PyTorch daily.
</t>
  </si>
  <si>
    <t xml:space="preserve">Content creation through youtube, twitter(X) , linkedIn and also contributing to open source projects
</t>
  </si>
  <si>
    <t xml:space="preserve">- [ ] Community Building
- [x] Technical Education
- [x] Open Source Contributions
- [x] Research &amp; Academia
- [ ] Developer Advocacy
- [ ] Mentorship
- [ ] Events &amp; Workshops
- [x] Content Creation
- [ ] Regional Community Growth
- [ ] Other
</t>
  </si>
  <si>
    <t>Outstanding documented community-building and mentorship in Uganda, including AIFest and large developer events, with a practical quarterly-event plan. Direct PyTorch engagement is described more as transferable AI experience than specific Foundation contribution.</t>
  </si>
  <si>
    <t>Classic contribution-farming profile. All 86 PRs are to GSSoC/Hacktoberfest practice repos (footer updates, dark mode toggles, algorithm submissions). Forked vLLM 3 weeks before applying with zero PRs. 151 issues are mostly spam. Claims of "deployment-oriented AI workflows" have zero evidence. No real contributions to any project, anywhere.</t>
  </si>
  <si>
    <t>adrianosantospb</t>
  </si>
  <si>
    <t xml:space="preserve">Adriano Araujo Santos
</t>
  </si>
  <si>
    <t xml:space="preserve">Lévis, QC, Canadá
</t>
  </si>
  <si>
    <t>Good PyTorch practitioner with Microsoft platinum club recognition. Though PyTorch related community presence is low.</t>
  </si>
  <si>
    <t xml:space="preserve">https://github.com/adrianosantospb
</t>
  </si>
  <si>
    <t xml:space="preserve">https://www.linkedin.com/in/adrianosantospb/
</t>
  </si>
  <si>
    <t xml:space="preserve">Torch-TensorRT
</t>
  </si>
  <si>
    <t xml:space="preserve">I am a professional with more than 25 years of experience in technology. In Brazil, I worked as a Microsoft Evangelist and served as the national leader of the .NET developer community. I also represented Latin America on Microsoft’s team in Australia and led several technology education and outreach initiatives for Microsoft.
I am still actively involved with the MTAC Brasil (Multi Platform Audience Contributor), a Brazilian non-profit organization founded in 2016. Currently, I live in Quebec, where I serve as the AI Lead at Ro-Main. I have been working with PyTorch since 2019 and I am the technical lead behind smaRt-Counting, recognized as one of the world’s most advanced systems for pig detection and tracking.
For more than five years, I have also been acting as an NVIDIA Evangelist. I am an NVIDIA Ambassador, a Deep Learning instructor, and one of the first professionals to achieve the NVIDIA Associate Gen AI Multimodal certification. I have extensive experience designing Deep Learning architectures and delivering technical training programs focused on AI and machine learning. In addition, I regularly publish technical content on Medium and LinkedIn.
For many years, I have been looking forward to the opportunity to contribute even more to the PyTorch community. I can contribute locally in Quebec in French, in Brazil in Portuguese, and internationally in English.
</t>
  </si>
  <si>
    <t xml:space="preserve">I have long been an advocate for PyTorch within technical communities. Across all my courses, educational materials, articles, and even within the company where I work, I established PyTorch as the standard technology for developing AI models and services. I have extensive experience working with technical communities, educational initiatives, and the teaching-learning process. I also have strong experience creating educational content and truly believe I can help foster the continued growth of the community.
</t>
  </si>
  <si>
    <t xml:space="preserve">I am fully capable (and highly motivated) to contribute to the technical community through organizing events, providing technical and educational mentorship, creating content, and acting as a technology evangelist. As I mentioned earlier, this is an opportunity I have been hoping for over many years, and I would be truly honored to become part of this select group and contribute even further to the PyTorch community.
</t>
  </si>
  <si>
    <t xml:space="preserve">- [x] Community Building
- [x] Technical Education
- [ ] Open Source Contributions
- [x] Research &amp; Academia
- [x] Developer Advocacy
- [ ] Mentorship
- [ ] Events &amp; Workshops
- [ ] Content Creation
- [ ] Regional Community Growth
- [ ] Other
</t>
  </si>
  <si>
    <t xml:space="preserve">Canada and Brazil
</t>
  </si>
  <si>
    <t>I hold a PhD in Computer Science and have many years of both technical and academic experience. I am proud to say that I trained what is considered the world’s leading pig detection and tracking model, smaRt-Counting.
I currently serve as the AI Lead at Ro-Main, where I have been developing AI solutions using PyTorch for several years, establishing it as the standard framework for our AI development initiatives.
I am deeply passionate about sharing knowledge and continuously learning new technologies. I am confident that I can make meaningful contributions to the PyTorch community, and it would be a tremendous honor for me to do so.</t>
  </si>
  <si>
    <t>Naman-iitm</t>
  </si>
  <si>
    <t xml:space="preserve">NAMAN JHA
</t>
  </si>
  <si>
    <t xml:space="preserve">Mumbai, Maharashtra , India
</t>
  </si>
  <si>
    <t xml:space="preserve">https://github.com/Naman-iitm
</t>
  </si>
  <si>
    <t xml:space="preserve">https://www.linkedin.com/in/naman-iitm/
</t>
  </si>
  <si>
    <t xml:space="preserve">Experienced professional (PhD, 25+ years, NVIDIA Ambassador, DL instructor). Legitimate PyTorch user since 2019 for production CV systems. However, no contributions to any PyTorch Foundation project "open source contributions" refers only to self-PRs. Plan is vague. Strength is professional credibility and multilingual community reach (French/Portuguese/English for Quebec and Brazil). Weakness is lack of specific PyTorch community engagement.
</t>
  </si>
  <si>
    <t>Exceptional technical and communication evidence: an open PyTorch-trained multimodal project with code, data, weights, and public demos, plus more than 20 talks reaching 2,000+ people. The hardware-neutral workshop and mentorship plan is concrete and directly aligned with Foundation projects.</t>
  </si>
  <si>
    <t>ramyaravi1</t>
  </si>
  <si>
    <t xml:space="preserve">Ramya Ravi
</t>
  </si>
  <si>
    <t xml:space="preserve">Farmington, CT, USA
</t>
  </si>
  <si>
    <t xml:space="preserve">I am currently pursuing the IIT Madras BS in Data Science and Applications program and have been actively involved in AI, machine learning, research, and student communities.
Over the past year, I have focused on making AI and data science education more accessible to students through mentorship, content creation, community engagement, and research collaborations.
My contributions include:
* Participating in research initiatives with institutions and researchers from organizations such as the University of Illinois Urbana-Champaign (UIUC), Cambridge Judge Business School, and other academic communities.
* Sharing educational content, learning resources, internship opportunities, and guidance related to AI, machine learning, open-source technologies, and research pathways through LinkedIn and student communities.
* Supporting students interested in AI, data science, and research by providing guidance on learning roadmaps, internship applications, open-source opportunities, and technical skill development.
* Actively exploring and utilizing PyTorch for deep learning workflows, model development, experimentation, and research-oriented projects.
* Promoting awareness of open-source AI ecosystems and encouraging students to contribute to community-driven technologies.
Through my outreach efforts, I have engaged with hundreds of students and aspiring developers across online communities, helping them discover opportunities in AI, machine learning, research, and open-source development.
Supporting Links:
* GitHub: https://github.com/Naman-iitm
* LinkedIn: https://www.linkedin.com/in/naman-iitm/
* Portfolio: https://naman-iitm.framer.ai/
I believe that building strong local student communities and lowering barriers to entry for AI education are essential for expanding the global PyTorch ecosystem, particularly in emerging regions such as India.
</t>
  </si>
  <si>
    <t xml:space="preserve">https://github.com/ramyaravi1
</t>
  </si>
  <si>
    <t xml:space="preserve">https://www.linkedin.com/in/ramya-ravi19/
</t>
  </si>
  <si>
    <t xml:space="preserve">https://x.com/Ramya_ravi19 
</t>
  </si>
  <si>
    <t xml:space="preserve">Reddit (https://www.reddit.com/user/ramyaravi19/) 
</t>
  </si>
  <si>
    <t xml:space="preserve">I want to become a PyTorch Foundation Ambassador because PyTorch has played a significant role in making modern AI research and development accessible to learners, students, researchers, and developers worldwide.
As a student actively pursuing AI and data science, I have witnessed how many aspiring learners struggle to find guidance, resources, and supportive communities when starting their journey in machine learning and deep learning.
Through the Ambassador Program, I hope to help bridge this gap by promoting open-source learning, encouraging community participation, and helping students gain confidence in using PyTorch and related ecosystem projects.
I am particularly motivated to support students from emerging and underrepresented communities who may not have direct access to research labs, mentorship networks, or advanced AI education resources.
The opportunity to collaborate with the global PyTorch community, learn from experienced contributors, and help grow local AI communities aligns strongly with my long-term goal of contributing to the advancement of open and accessible AI education.
</t>
  </si>
  <si>
    <t xml:space="preserve">- [ ] Open source contributions
- [x] Technical content creation
- [x] Community leadership
- [x] Events or workshops
- [ ] Research or academic work
- [x] Mentorship
- [x] University or student outreach
- [ ] Translation or localization efforts
- [x] Other
</t>
  </si>
  <si>
    <t xml:space="preserve">As a PyTorch Foundation Ambassador, I would focus on community growth, education, and student outreach.
My planned contributions include:
* Organizing beginner-friendly workshops and learning sessions introducing students to PyTorch fundamentals and practical AI development.
* Creating educational content, guides, and learning resources that simplify AI and deep learning concepts for students.
* Helping students discover open-source contribution pathways within the PyTorch ecosystem and related Foundation projects.
* Building and supporting student communities focused on AI, machine learning, and open-source collaboration.
* Promoting awareness of PyTorch Foundation projects through social media, technical discussions, and community events.
* Encouraging responsible AI development and knowledge sharing among students and early-career developers.
* Connecting learners with research opportunities, mentorship resources, and educational initiatives that can strengthen their technical growth.
My primary goal would be to increase participation from students and emerging developers, helping create a stronger and more inclusive PyTorch community in India and beyond.
</t>
  </si>
  <si>
    <t xml:space="preserve">- [x] Community Building
- [ ] Technical Education
- [x] Open Source Contributions
- [x] Research &amp; Academia
- [ ] Developer Advocacy
- [ ] Mentorship
- [x] Events &amp; Workshops
- [ ] Content Creation
- [ ] Regional Community Growth
- [ ] Other
</t>
  </si>
  <si>
    <t xml:space="preserve">Over the past few years, I have authored 4+ articles on the official pytorch.org/blog including the official PyTorch Conference 2023 lightning-talk recap, written and published 7+ additional PyTorch deep-dive tutorials and developer spotlights, bootstrapped Intel's developer community on Discord from zero to 6,000+ members and grew Intel's PyTorch and AI/ML presence on Reddit through release amplifications, technical Q&amp;A moderation, and developer onboarding, supported and publicly recapped two flagship developer events (Intel Innovation 2023 AI Hackathon and Intel AI DevSummit 2023, 2025), and continue to drive PyTorch advocacy daily. This work has been consistent and lives on my own channels (Reddit - u/ramyaravi19, Medium, LinkedIn) — PyTorch is what I have chosen to build my career around, not a side effect of where I happen to work. Across every channel, the goal has been the same: increasing PyTorch user adoption and helping to grow the PyTorch contributor community. 
1) OFFICIAL PYTORCH FOUNDATION PUBLICATIONS 
 Four authored articles on pytorch.org/blog plus the official PyTorch Conference 2023 recap — Foundation-vetted, Foundation-published work covering NLP, conversational AI, CV quantization, and event coverage:  
  • Language Identification: Building an End-to-End AI Solution using PyTorch — ECAPA-TDNN training with Hugging Face SpeechBrain on Common Voice, TorchScript inference, INT8 quantization - https://pytorch.org/blog/language-identification/ 
  • How to Build an Interactive Chat-Generation Model using DialoGPT and PyTorch — DialoGPT (GPT-2) with dynamic quantization, Top-K / Top-p sampling -https://pytorch.org/blog/interactive-chat-gen-model/ 
  • Accelerate PyTorch Models Using Quantization Techniques — static and dynamic post-training quantization on ResNet-50 / CIFAR-10, with guidance on when to use each -https://pytorch.org/blog/accelerate-pytorch-models/ 
  • From PyTorch Conference 2023: From Dinosaurs to Seismic Imaging — the official PyTorch Conference 2023 lightning-talk recap, surfacing OpenFWI seismic imaging and ResNet-18 paleontology applications to the broader community - https://pytorch.org/blog/dinosaurs-to-seismic-imaging/ 
2) BUILT A DEVELOPER COMMUNITY FROM ZERO 
I grew Intel's developer Discord from zero to 6,000+ members, and built Intel's PyTorch and AI/ML presence on Reddit from scratch through sustained release amplifications, technical Q&amp;A moderation, and developer onboarding. I own the onboarding flows, the moderation playbook, the release-amplification cadence, and the community-norms work that go into building that from scratch. 
The goal of that work was the same one the Foundation cares about: increasing user adoption of PyTorch (and PyTorch-adjacent tooling) and growing the contributor community around it. This is the single most relevant piece of evidence that I can do Ambassador work — the program asks nominees to "build and foster local PyTorch communities," and I have already done the harder version of that online and from zero. I am ready to repeat the playbook on PyTorch's behalf in the Northeast US. 
3) FLAGSHIP DEVELOPER EVENTS — ORGANIZED, SUPPORTED, RECAPPED 
I have on-the-ground experience running and amplifying multi-day developer events featuring PyTorch. 
  • Intel AI DevSummit 2025 — "Empower Your AI Journey" — I contributed to programming, promotion, and authored the official recap of a multi-track developer summit covering PyTorch and open-source AI tooling - https://community.intel.com/t5/Blogs/Tech-Innovation/Artificial-Intelligence-AI/Empower-Your-AI-Journey-Intel-AI-DevSummit-2025/post/1668896 
  • AI Innovation Bridge Hackathon at Intel Innovation 2023 — I supported participant onboarding, technical questions and authored the public recap for a hackathon at Intel's flagship conference, with many submissions built on PyTorch [-https://community.intel.com/t5/Blogs/Tech-Innovation/Artificial-Intelligence-AI/AI-Innovation-Bridge-Hackathon-at-Intel-Innovation-2023/post/1537373](https://community.intel.com/t5/Blogs/Tech-Innovation/Artificial-Intelligence-AI/AI-Innovation-Bridge-Hackathon-at-Intel-Innovation-2023/post/1537373) 
  • PyTorch Conference 2023 — produced the official lightning-talk recap on the PyTorch Foundation blog (linked in Section 1). 
  • Webinar I hosted / presented on PyTorch: LLM-Powered Browser Plugin (PyTorch + Hugging Face) — https://www.intel.com/content/www/us/en/developer/videos/llm-powered-browser-plugin.html 
4) GROWING THE NEXT WAVE OF PYTORCH CONTRIBUTORS 
I deliberately invest in lifting up newer PyTorch practitioners — the most direct way to grow the contributor pipeline. I author Developer Spotlight-style tutorials that take projects from students and early-career engineers and turn them into reproducible, domain-specific PyTorch walkthroughs others can learn from: 
  • Farmers Assistance Chatbot using Intel Extension for PyTorch— applied NLP/chatbot tutorial in a high-impact agricultural use case - https://community.intel.com/t5/Blogs/Tech-Innovation/Artificial-Intelligence-AI/Farmers-Assistance-Chatbot-using-Intel-Extension-for-PyTorch/post/1607434 
  • Detecting Weeds in Crops using PyTorch — Developer Spotlight featuring a community developer's CV project end-to-end - https://community.intel.com/t5/Blogs/Tech-Innovation/Artificial-Intelligence-AI/Detecting-Weeds-in-Crops-using-PyTorch-Developer-Spotlight/post/1561691 
  • Building an Object Detection Model for Autonomous Vehicles using PyTorch — applied CV for AV workloads, designed for engineers new to PyTorch detection pipelines - https://community.intel.com/t5/Blogs/Tech-Innovation/Artificial-Intelligence-AI/Building-an-Object-Detection-Model-for-Autonomous-Vehicles-using/post/1514410  
5) DEEP-DIVE TECHNICAL TUTORIALS ON ADVANCED PYTORCH WORKFLOWS 
I have onboarded developers to advanced PyTorch workflows — model quantization, GPU inference, and generative-AI pipelines — through deeply technical, reproducible tutorials and a webinar: 
  • PyTorch Quantization using Intel Neural Compressor —https://www.intel.com/content/www/us/en/developer/articles/technical/pytorch-quantization-using-intel-neural-compressor.html 
  • Optimize PyTorch Inference Performance on GPUs —https://www.intel.com/content/www/us/en/developer/articles/technical/optimize-pytorch-inference-performance-on-gpus.html 
  • Optimize Stable Diffusion Upscaling with PyTorch —https://www.intel.com/content/www/us/en/developer/articles/technical/optimize-stable-diffusion-upscaling-with-pytorch.html 
These topics — quantization, GPU inference, generative AI — are where the PyTorch learning curve is steepest and where good documentation translates most directly into production adoption.
</t>
  </si>
  <si>
    <t xml:space="preserve">PyTorch is not adjacent to my career — it is the centerpiece of it. I want to convert years of PyTorch advocacy, content, and community-building into a formal, multi-year commitment to increasing PyTorch user adoption and growing the contributor community in the Northeast US (Connecticut, Boston, and NYC), operating as a community member first.  
I want to become a PyTorch Foundation Ambassador for three reasons: 
 1) PyTorch is the throughline of my career — and I want to make that official. My most prestigious technical writing lives on pytorch.org/blog. My Reddit (u/ramyaravi19), Medium, and LinkedIn channels have been amplifying PyTorch releases, tutorials, and technical Q&amp;A for years. I have already chosen PyTorch as the center of my work; the Ambassador role gives that commitment a formal home. 
2) I want to scale the community work I am already doing — on newer Foundation projects that need it most. The next wave of PyTorch Foundation projects — vLLM, DeepSpeed — define the next decade of inference and training scale. Onboarding developers to them quickly is the difference between PyTorch leading that wave or losing developers to lower-level alternatives. As an Ambassador I would aim my content and webinars at exactly those projects, in the same accessible-tutorial style I used for my four pytorch.org/blog posts. 
3) I want to invest in long-term, in-region community building. I have built a developer community from zero before — bootstrapping an active Reddit and Discord audience around PyTorch and AI/ML from scratch. I know how much consistent, multi-year work it takes, and I know the playbook. The Ambassador program's two-year term, quarterly event cadence, and Ambassador-cohort access give me the right structure to do that work properly in the Northeast US (Connecticut, Boston, and NYC). 
</t>
  </si>
  <si>
    <t xml:space="preserve">As an Ambassador over the two-year term, I commit to the following concrete activities — each chosen because I have already demonstrated the underlying capability and can scale it. 
CONTENT (cadence I can sustain because I am already on it) 
  • At least one in-depth PyTorch technical article per month, with a target of 4+ per year submitted for consideration on pytorch.org/blog — continuing the cadence I established with four existing pytorch.org/blog posts. 
  • Companion reproducible notebooks / GitHub samples for each article. 
  • Short-form release explainers on LinkedIn, X, Reddit, and Medium for every major PyTorch release. 
  • Topic focus where I am uniquely positioned: model quantization (static, dynamic, INT8), inference optimization, conversational and generative AI — and the newer Foundation projects (vLLM, DeepSpeed) where accessible educational content is the gating factor for adoption. 
EVENTS AND WEBINARS (&gt;=1 per quarter, exceeding the minimum) 
• At least 2 in-person meetups per year partnering with local AI/ML user groups and universities. 
 • Speaking submissions to PyTorch Conference and regional PyTorch events each year. 
COMMUNITY ENGAGEMENT 
  • Continue active PyTorch Q&amp;A on Reddit (u/ramyaravi19), the PyTorch Discuss forum, and Discord. 
  • Apply the community-from-zero playbook I built for Intel's Reddit and Discord presence to PyTorch's regional community in the Northeast US (Connecticut, Boston, and NYC) — onboarding flows, moderation cadence, release amplification.  
FOUNDATION PARTICIPATION 
  • Attend Foundation learning sessions and Ambassador syncs. 
  • Contribute to Ambassador playbooks for community organizers, informed by my Intel community-building experience. 
  • Publish a short quarterly report on activity, reach, and lessons learned to the Ambassador cohort. 
DIFFERENTIATED VALUE 
 I bring four pytorch.org/blog articles, multi-year developer-advocacy experience consistent across two employers, proof I can build a developer community from zero, and a portfolio of applied PyTorch tutorials (agriculture, AV, generative AI) that meets developers where their actual problems live. Most importantly: my PyTorch advocacy is grounded in my own work and my own channels. Across every deliverable above, the two metrics I will optimize for are the same ones the Foundation optimizes for: PyTorch user adoption and contributor-community growth. 
</t>
  </si>
  <si>
    <t>**Bio:** 
Ramya Ravi is Developer Advocate – AI and Open Source at NetApp Instaclustr, a passionate content creator and AI enthusiast who thrives on exploring emerging trends, building communities, and attending tech conferences. With expertise in Python, TypeScript, C/C++, and AI/ML libraries including PyTorch, TensorFlow, Hugging Face, scikit-learn, and XGBoost, she brings broad technical depth to her role. Previously, as a Developer Relations Engineer at Intel focused on AI/ML solutions, she created impactful technical content (blogs, demos, videos) and spearheaded the growth of Intel's developer community on Reddit and Discord from the ground up. 
**Official pytorch.org/blog articles authored:** 
  • https://pytorch.org/blog/language-identification/ 
  • https://pytorch.org/blog/interactive-chat-gen-model/ 
  • https://pytorch.org/blog/accelerate-pytorch-models/ 
  • https://pytorch.org/blog/dinosaurs-to-seismic-imaging/ 
**Student- and engineer-focused PyTorch tutorials &amp; Developer  Spotlights (community.intel.com):** 
  • Farmers Assistance Chatbot using Intel Extension for PyTorch — 
    https://community.intel.com/t5/Blogs/Tech-Innovation/Artificial-Intelligence-AI/Farmers-Assistance-Chatbot-using-Intel-Extension-for-PyTorch/post/1607434 
  • Detecting Weeds in Crops using PyTorch — Developer Spotlight — 
    https://community.intel.com/t5/Blogs/Tech-Innovation/Artificial-Intelligence-AI/Detecting-Weeds-in-Crops-using-PyTorch-Developer-Spotlight/post/1561691 
  • Building an Object Detection Model for Autonomous Vehicles using PyTorch — 
    https://community.intel.com/t5/Blogs/Tech-Innovation/Artificial-Intelligence-AI/Building-an-Object-Detection-Model-for-Autonomous-Vehicles-using/post/1514410 
**PyTorch deep-dive articles &amp; videos on intel.com/developer:** 
  • PyTorch Quantization using Intel Neural Compressor — 
    https://www.intel.com/content/www/us/en/developer/articles/technical/pytorch-quantization-using-intel-neural-compressor.html 
  • Optimize PyTorch Inference Performance on GPUs — 
    https://www.intel.com/content/www/us/en/developer/articles/technical/optimize-pytorch-inference-performance-on-gpus.html 
  • Optimize Stable Diffusion Upscaling with PyTorch — 
    https://www.intel.com/content/www/us/en/developer/articles/technical/optimize-stable-diffusion-upscaling-with-pytorch.html 
  • Webinar — LLM-Powered Browser Plugin — 
    https://www.intel.com/content/www/us/en/developer/videos/llm-powered-browser-plugin.html 
**Events organized / supported with public recaps:** 
  • Intel AI DevSummit 2025 — "Empower Your AI Journey" — 
    https://community.intel.com/t5/Blogs/Tech-Innovation/Artificial-Intelligence-AI/Empower-Your-AI-Journey-Intel-AI-DevSummit-2025/post/1668896 
  • AI Innovation Bridge Hackathon at Intel Innovation 2023 — 
    https://community.intel.com/t5/Blogs/Tech-Innovation/Artificial-Intelligence-AI/AI-Innovation-Bridge-Hackathon-at-Intel-Innovation-2023/post/1537373</t>
  </si>
  <si>
    <t>Strong content-focused applicant with claimed authorship of 4 pytorch.org/blog articles (posts are live; authorship consistent with Intel DevRel role). Built Intel's developer community 0 to 6,000+ on Discord. Multiple applied PyTorch tutorials across agriculture, autonomous vehicles, generative AI. Exceptionally detailed Ambassador plan with quantified commitments. No code contributions, but content/advocacy contributions are well-documented. Caveat: much work was employer-directed (Intel DevRel), separating personal advocacy from job duties is difficult. Minimal GitHub presence (0 followers, 6 repos, 0 PRs).</t>
  </si>
  <si>
    <t>impressive academic trajectory but no PyTorch specific info. Needs actual PyTorch experience with evidence to be an ambassador.</t>
  </si>
  <si>
    <t>Shows relevant AI projects and interest in peer learning, but offers limited evidence of PyTorch-specific contributions, delivered workshops, or measurable community impact. The proposed activities are appropriate but remain broad.</t>
  </si>
  <si>
    <t>trishnabhattarai</t>
  </si>
  <si>
    <t xml:space="preserve">Trishna Bhattarai
</t>
  </si>
  <si>
    <t xml:space="preserve">Naxal, Kathmandu
</t>
  </si>
  <si>
    <t xml:space="preserve">https://github.com/trishnabhattarai
</t>
  </si>
  <si>
    <t xml:space="preserve">https://www.linkedin.com/in/trishna-bhattarai3/
</t>
  </si>
  <si>
    <t xml:space="preserve">https://x.com/TrishnaBha25131
</t>
  </si>
  <si>
    <t xml:space="preserve">YouTube: https://www.youtube.com/@Nepali_AI_Lab
</t>
  </si>
  <si>
    <t xml:space="preserve">- [ ] Open source contributions
- [x] Technical content creation
- [ ] Community leadership
- [x] Events or workshops
- [x] Research or academic work
- [ ] Mentorship
- [ ] University or student outreach
- [ ] Translation or localization efforts
- [ ] Other
</t>
  </si>
  <si>
    <t xml:space="preserve">I am an Artificial Intelligence student based in Nepal and an active member of the AI learning community. My contributions have primarily focused on AI education, community engagement, and promoting open-source AI technologies, including PyTorch, among students and aspiring developers.
I regularly create and share educational content about Artificial Intelligence, Machine Learning, Large Language Models (LLMs), Computer Vision, and open-source AI tools through LinkedIn and YouTube. My goal is to make AI concepts more accessible to beginners and encourage students to explore open-source ecosystems such as PyTorch.
Some of my contributions include:
- Creating educational content about AI and machine learning concepts.
- Sharing learning resources and tutorials related to deep learning and PyTorch.
- Participating in AI and cloud computing communities.
- Helping fellow students understand AI fundamentals and career opportunities in AI.
- Advocating for the adoption of open-source AI tools among university students.
I am currently pursuing a Bachelor's degree in Computer Science with a specialization in Artificial Intelligence and continuously expanding my practical knowledge of deep learning frameworks, including PyTorch.
Impact:
- Regularly publish AI-related educational content.
- Engage with students and early-career developers interested in AI.
- Support knowledge sharing within local technology communities in Nepal.
</t>
  </si>
  <si>
    <t xml:space="preserve">I want to become a PyTorch Foundation Ambassador because I believe open-source communities play a critical role in making AI education accessible to everyone.
As an AI student from Nepal, I have seen many talented students who are interested in machine learning and deep learning but lack access to structured learning opportunities, mentorship, and community support. Through the Ambassador Program, I hope to help bridge that gap by promoting PyTorch, sharing educational resources, and connecting learners with the global open-source AI community.
I am particularly motivated by PyTorch's strong focus on research, innovation, and community-driven development. Becoming an Ambassador would allow me to contribute more effectively to the growth of AI education and open-source adoption within Nepal and the broader South Asian region.
</t>
  </si>
  <si>
    <t xml:space="preserve">As a PyTorch Foundation Ambassador, I would focus on community building, education, and awareness of open-source AI technologies.
My planned contributions include:
- Organizing AI and PyTorch learning sessions for students.
- Creating beginner-friendly tutorials, articles, and videos about PyTorch.
- Supporting students who are starting their machine learning and deep learning journey.
- Promoting open-source contributions and encouraging participation in PyTorch-related projects.
- Building connections between local AI communities in Nepal and the global PyTorch ecosystem.
- Hosting workshops, webinars, and discussion sessions focused on practical AI development using PyTorch.
- Sharing updates, learning resources, and best practices through social media and community platforms.
My long-term goal is to help create a stronger PyTorch learning community in Nepal and encourage more students to participate in open-source AI development.
</t>
  </si>
  <si>
    <t xml:space="preserve">- [x] Community Building
- [x] Technical Education
- [x] Open Source Contributions
- [x] Research &amp; Academia
- [ ] Developer Advocacy
- [ ] Mentorship
- [x] Events &amp; Workshops
- [x] Content Creation
- [ ] Regional Community Growth
- [ ] Other
</t>
  </si>
  <si>
    <t>I actively share AI-related educational content through social platforms and continuously engage with students interested in artificial intelligence, machine learning, cloud computing, and emerging technologies.
Areas of Interest:
- Deep Learning
- Large Language Models (LLMs)
- Computer Vision
- Open Source AI
- AI Education and Community Development
My goal is to contribute to the growth of an inclusive and collaborative AI ecosystem where students and developers can learn, build, and contribute using open-source technologies such as PyTorch.</t>
  </si>
  <si>
    <t>Regular educational content and student engagement provide emerging evidence of communication and outreach. The application lacks concrete PyTorch project contribution, outcome measures, and a plan with delivery scope or milestones.</t>
  </si>
  <si>
    <t>Exceptional candidate with verified publications at top venues and actual code contributions to PyTorch ecosystem projects.</t>
  </si>
  <si>
    <t>Shreesh-Sree</t>
  </si>
  <si>
    <t xml:space="preserve">Sreesanth R
</t>
  </si>
  <si>
    <t xml:space="preserve">https://github.com/Shreesh-Sree
</t>
  </si>
  <si>
    <t xml:space="preserve"> Prolific open-source contributor with verified merged PRs in pytorch/pytorch (3, dynamo/inductor bug fixes), vLLM (1), and Ray (1). Extensive contributions across 15+ major OSS projects. Strong professional credentials (IEEE Senior Member, GDE, NVIDIA Champion, 21+ years at HP). Main caveats: (1) PyTorch engagement appears recent (all PRs from March-May 2026) rather than sustained, (2) contributions are breadth-focused bug fixes spread thinly, (3) Ambassador plan is very broad. Overall a strong candidate with demonstrated ability to contribute meaningfully.</t>
  </si>
  <si>
    <t xml:space="preserve">https://linkedin.com/in/sreesanth-sree
</t>
  </si>
  <si>
    <t xml:space="preserve">I have been actively working with PyTorch for machine learning projects, most notably the **UIDAI Migration Prediction System** (https://github.com/Shreesh-Sree/UIDAI-Migration-Prediction-System), a Python/PyTorch-powered end-to-end ML pipeline that classifies internal migration patterns using demographic data. The system includes a FastAPI backend and Streamlit dashboard, and demonstrates practical application of PyTorch for real-world social impact.
Additionally, through my work at **AlgoQX** — my student startup building XyroQX, an enterprise autonomous DevOps triage platform — I've integrated PyTorch-based inference pipelines for AI-driven issue triaging. I've also self-hosted vLLM-based LLMs locally, using PyTorch-compatible models for RAG system development and AI agent workflows.
As **Technical Coordinator at GDG On Campus (St. Joseph's College of Engineering)** and **AWS Student Builder Group Core Member**, I've hosted workshops introducing students to ML fundamentals with PyTorch, encouraging 200+ students to explore AI/ML tooling. I am also a **GSSoC 2026 Ambassador** in the AI Agents track, where I advocate for open-source AI development including PyTorch-based tools.
**Supporting Links:**
- GitHub: https://github.com/Shreesh-Sree
- UIDAI Project: https://github.com/Shreesh-Sree/UIDAI-Migration-Prediction-System
- LinkedIn: https://linkedin.com/in/sreesanth-sree
</t>
  </si>
  <si>
    <t xml:space="preserve">I want to become a PyTorch Foundation Ambassador because PyTorch is the backbone of the AI research and production systems I build and teach. As a student in India building ML-powered products and running campus communities, I see firsthand how powerful PyTorch is — and how underrepresented the South Asian developer community is in global open-source ML advocacy.
My motivation is twofold: to deepen my own technical expertise in the PyTorch ecosystem, and to actively bring more Indian students and developers into the PyTorch community. Access to mentorship, quality resources, and community events around PyTorch is limited in my region. As an Ambassador, I want to change that — through workshops, content creation, and building a PyTorch learning community at my institution and through my existing networks (GDG, AWS Student Builder Group, GSSoC).
I also believe the Ambassador role will give me a structured platform to contribute back to the foundation projects I actively use — PyTorch and vLLM — through documentation, tutorials, and code contributions that make the ecosystem more accessible to students globally.
</t>
  </si>
  <si>
    <t xml:space="preserve">As a PyTorch Foundation Ambassador, I plan to contribute in the following ways:
**1. Campus Workshops &amp; Events**
Leverage my existing roles as GDG On Campus Technical Coordinator and AWS Student Builder Group Core Member to run dedicated PyTorch and ML workshops at St. Joseph's College of Engineering and partner institutions. Target: 4–6 workshops per semester, 100+ students per event.
**2. Technical Content Creation**
Produce beginner-to-intermediate tutorials on PyTorch — covering model training, inference, RAG systems with vLLM, and deploying PyTorch models with FastAPI — and publish them on GitHub and LinkedIn to reach the Indian developer community.
**3. Open Source Contributions**
Actively contribute to PyTorch Foundation GitHub repositories — documentation improvements, bug fixes, and example notebooks — especially content that improves accessibility for Indian and South Asian students.
**4. University Student Outreach**
Use my network across multiple college communities (GDG, AWS Builder Group, GSSoC, HackerRank Campus Crew) to advocate for PyTorch as the go-to framework for AI/ML learning, and help onboard students into the PyTorch ecosystem.
**5. Regional Community Growth**
Establish a PyTorch study group in Chennai and Tamil Nadu, organizing monthly meetups and collaborative project sessions to grow the regional PyTorch contributor base.
</t>
  </si>
  <si>
    <t>The application states only three months of PyTorch involvement and provides no examples of contributions, education, technical communication, or a defined activity plan.</t>
  </si>
  <si>
    <t>**Certifications &amp; Education:**
- Microsoft DP-700 (Fabric Data Engineer) Certified
- Oracle Cloud Infrastructure 2025 AI Foundations Certified
- 3rd-year B.E. Computer Science, St. Joseph's College of Engineering, Chennai (graduating May 2028)
**Community Roles:**
- Technical Coordinator, GDG On Campus – St. Joseph's College of Engineering
- AWS Student Builder Group Core Member, St. Joseph's Group of Institutions, Chennai
- GSSoC 2026 Ambassador &amp; Contributor (AI Agents track)
- HackerRank Campus Crew Ambassador
- Microsoft Learn Student Ambassador (Registered)
**Key Projects:**
- **XyroQX** (AlgoQX): Enterprise autonomous DevOps triage platform using Next.js, FastAPI, PyTorch inference, PostgreSQL, Redis, Docker — https://github.com/Shreesh-Sree
- **UIDAI Migration Prediction System**: PyTorch/scikit-learn ML pipeline for migration pattern analysis — https://github.com/Shreesh-Sree/UIDAI-Migration-Prediction-System
- **FisherMate.AI**: AI-powered fishery management assistant with PyTorch-based ML components
**Competitive Programming:**
- LeetCode: shreesh_sree | Codeforces: Shreesh_exe | AtCoder: Shreesh_exe
**Personal Website:** https://www.shreesh-sree.dev
**LinkedIn:** https://linkedin.com/in/sreesanth-sree</t>
  </si>
  <si>
    <t>Student with real PyTorch projects. Very early career. Community engagement is genuine but experience is limited.</t>
  </si>
  <si>
    <t>samzong</t>
  </si>
  <si>
    <t xml:space="preserve">samzong
</t>
  </si>
  <si>
    <t xml:space="preserve">Shanghai, China
</t>
  </si>
  <si>
    <t xml:space="preserve">https://github.com/samzong
</t>
  </si>
  <si>
    <t xml:space="preserve">https://linkedin.com/in/samzong
</t>
  </si>
  <si>
    <t xml:space="preserve">https://x.com/samzong_
</t>
  </si>
  <si>
    <t xml:space="preserve">I am a commiter contributions to https://github.com/vllm-project/semantic-router, where I help improve semantic-routing capabilities for LLM serving workloads and AI systems.
Over the past several years, I have been actively contributing to Cloud Native and AI infrastructure projects, Help user to use PyTorch-based in business. And I keep focuses on the intersection of PyTorch, vLLM, cloud-native and AI infrastructure.
GitHub:
* https://github.com/vllm-project/semantic-router
* https://github.com/samzong
Add I actively build some tools to help engineers more effectively with vLLM and PyTorch-based serving stacks, Some of my open-source projects:
* https://github.com/openclaw/openclaw/pulls?q=is%3Apr+author%3Asamzong+
* https://github.com/clawwork-ai/ClawWork
</t>
  </si>
  <si>
    <t xml:space="preserve">I regularly share technical news, Tweets, and community discussions related to:
* LLM inference acceleration
* vLLM ecosystem development
* AI infrastructure engineering
* PyTorch ecosystem tooling
* Cloud-native AI platforms
* Open-source developer workflows
My long-term goal is to fix the gap between AI infrastructure engineers and the broader PyTorch ecosystem by making advanced AI systems more accessible, production-ready, and community-driven.
And I believe that the future of open-source LLM not only on model innovation, but also on building sustainable infrastructur cand its ecosystem projects.
</t>
  </si>
  <si>
    <t>Demonstrates practical PyTorch use in an agricultural application, student mentoring, and prior campus-ambassador experience. The regional workshop, bilingual content, and contributor-onboarding plan is credible, though current PyTorch community impact is modest.</t>
  </si>
  <si>
    <t xml:space="preserve">As an Ambassador, I will focus on AI infrastructure and developer ecosystem around PyTorch projects, especially within the Asia developer community.
I plan to contribute through a combination of technical education, open-source collaboration, developer advocacy, and community building.
My primary areas:
* Organizing technical talks, and community events focused on LLM serving and Inference acceleration, vLLM, and AI infrastructure.
* Creating educational content around PyTorch projects, cloud-native and AI infrastructure and developer tools.
* Help new developers and contributors who are interested in AI infrastructure, and open-source collaboration.
* Supporting regional community growth in Asia by connecting developers, maintainers, and open-source communities around PyTorch Foundation technologies.
* Contributing to open-source projects and developer tools to PyTorch and AI infrastructure projects.
</t>
  </si>
  <si>
    <t>Strong foundation project contributor plus good research experience.</t>
  </si>
  <si>
    <t>sambonuruddeen</t>
  </si>
  <si>
    <t xml:space="preserve">Nuruddeen Sambo Umar
</t>
  </si>
  <si>
    <t xml:space="preserve">Bauchi, Nigeria
</t>
  </si>
  <si>
    <t xml:space="preserve">http://github.com/sambonuruddeen
</t>
  </si>
  <si>
    <t xml:space="preserve">https://gitlab.com/sambonuruddeen
</t>
  </si>
  <si>
    <t xml:space="preserve">https://linkedin.com/in/sambonuruddeen
</t>
  </si>
  <si>
    <t xml:space="preserve">I'm inspired by the power of open-source technologies to democratise AI adoption and nurture vibrant developer communities. This enthusiasm drives my leadership roles as the Bauchi Chapter Lead for Open Source Community Africa (OSCA) and the Lead of the Machine Learning Bauchi (Formerly, TensorFlow User Group Bauchi), where we organised workshops and trainings and have conducted 26 meetups over the years, where we taught, among others, introductory classes on ML Frameworks (TensorFlow and Pytorch). Additionally, I find great satisfaction in sharing my knowledge as a volunteer tutor for the Data Scientists Network (DSN). I also worked for a time as an ML tutor with Udacity, and have spoken at multiple GDG DevFest Events on AI and machine learning concepts and tools.
- https://www.meetup.com/machine-learning-bauchi/events/?type=past
- https://web.facebook.com/gdgbauchi/posts/-speaker-announcement-we-are-thrilled-to-announce-that-nuruddeen-sambo-will-be-s/1143769347843934/?_rdc=1&amp;_rdr#
- https://www.youtube.com/watch?v=MjM0JEOwo0c&amp;t=11s
</t>
  </si>
  <si>
    <t xml:space="preserve">Having worked with PyTorch on some projects and seen how good and widely accepted it is, I believe it is an essential tool for anyone who wishes to work in the field of AI, whether in research or engineering. I'm excited to expand my work to reach a wider community and benefit from the resources and opportunities this program offers, as well as gain essential PyTorch knowledge and skills.
</t>
  </si>
  <si>
    <t xml:space="preserve">* Organising community events
* Mentoring contributors
* Educational outreach
* Technical advocacy
</t>
  </si>
  <si>
    <t>Shows sustained, high-volume community leadership, open learning resources, research relevant to low-resource languages, and mentorship of more than 1,000 learners. The detailed plan builds directly on demonstrated workshops, study jams, hackathons, and contributor support.</t>
  </si>
  <si>
    <t>good community leader for  along time in underserved region of Africa. Grassroot community builder tho PyTorch experience is limited.</t>
  </si>
  <si>
    <t xml:space="preserve">Good hackathon partcipant with good AWS community cred. PyTorch specific experience is not present. </t>
  </si>
  <si>
    <t>Provides credible applied PyTorch project work and a clear campus, hackathon, and regional-user-group plan. Evidence of prior community delivery, technical education, and open-source contribution is still limited.</t>
  </si>
  <si>
    <t>joyjitroy</t>
  </si>
  <si>
    <t xml:space="preserve">Joyjit Roy
</t>
  </si>
  <si>
    <t>yxwu21</t>
  </si>
  <si>
    <t xml:space="preserve">Austin, TX, USA
</t>
  </si>
  <si>
    <t xml:space="preserve">Yongxian Wu
</t>
  </si>
  <si>
    <t xml:space="preserve">https://github.com/joyjitroy
</t>
  </si>
  <si>
    <t xml:space="preserve">https://github.com/yxwu21
</t>
  </si>
  <si>
    <t xml:space="preserve">https://www.linkedin.com/in/royjoyjit/
</t>
  </si>
  <si>
    <t xml:space="preserve">https://x.com/JoyjitRoy_
</t>
  </si>
  <si>
    <t xml:space="preserve">https://www.credly.com/users/joyjit-roy
</t>
  </si>
  <si>
    <t xml:space="preserve">https://scholar.google.com/citations?user=NbA1G3sAAAAJ
</t>
  </si>
  <si>
    <t xml:space="preserve">I am an AI/ML and cloud transformation leader, independent researcher, public speaker, and community contributor based in Austin, Texas. My community work focuses on applied AI, machine learning, agentic AI systems, cybersecurity automation, cloud modernization, and responsible enterprise AI adoption.
My contributions include applied AI research, technical speaking, professional mentoring, and community leadership. I regularly translate advanced AI/ML concepts into practical learning sessions for technical professionals, product leaders, program leaders, and enterprise technology communities. My work is strongly aligned with the PyTorch Foundation ecosystem because PyTorch is one of the most important frameworks for research-to-production AI development, model experimentation, transformer-based architectures, and modern ML education.
I have contributed to the broader AI/ML community through:
- Publishing and presenting research in AI/ML, agentic AI, cybersecurity automation, and enterprise AI systems.
- Speaking at professional and technical forums on Agentic AI, AI governance, cloud-native modernization, and production-scale AI adoption.
- Mentoring professionals and students in AI, cloud, program leadership, and applied technology strategy.
- Supporting community growth through my leadership role with PMI Austin and participation in Austin-area AI and technology communities.
- Reviewing academic and technical work for IEEE-affiliated and international conferences.
As a PyTorch Foundation Ambassador, I would focus on helping practitioners, students, and enterprise AI teams understand how PyTorch and related ecosystem projects such as vLLM and Ray can support real-world AI development, experimentation, inference, and responsible deployment.
Supporting links:
- GitHub: https://github.com/joyjitroy
- LinkedIn: https://www.linkedin.com/in/royjoyjit/
- Google Scholar: https://scholar.google.com/citations?hl=en&amp;user=66qcSP8AAAAJ
- PMI Community Profile: https://community.pmi.org/profile/joyjitroy
- Credly: https://www.credly.com/users/joyjit-roy
- Scrum Alliance - https://www.scrumalliance.org/community/profile/jroy23
</t>
  </si>
  <si>
    <t xml:space="preserve">LibTorch / PyTorch C++ frontend for scientific computing and molecular dynamics
</t>
  </si>
  <si>
    <t xml:space="preserve">- [x] Open source contributions
- [x] Technical content creation
- [ ] Community leadership
- [ ] Events or workshops
- [x] Research or academic work
- [x] Mentorship
- [x] University or student outreach
- [ ] Translation or localization efforts
- [x] Other
</t>
  </si>
  <si>
    <t xml:space="preserve">I want to become a PyTorch Foundation Ambassador because I believe PyTorch is one of the most important bridges between AI research, developer learning, and production AI adoption. My professional and research work sits at the intersection of applied AI, enterprise transformation, agentic AI systems, cybersecurity automation, and cloud-native modernization. I see a strong opportunity to help more practitioners and students understand how PyTorch can be used not only for experimentation, but also for responsible, scalable, and practical AI implementation.
My motivation is to help grow the PyTorch community in Austin, across the United States, and through virtual technical education. I am especially interested in supporting professionals transitioning from traditional software, cloud, data, or program leadership roles into applied AI and ML engineering. I would like to contribute by organizing educational sessions, sharing practitioner-oriented content, mentoring contributors, and highlighting real-world use cases where PyTorch and related ecosystem projects can create a measurable impact.
I also value the PyTorch Foundation’s open, collaborative, and community-driven approach. Becoming an Ambassador would allow me to contribute more intentionally to that mission while helping connect research, industry adoption, and community education.
</t>
  </si>
  <si>
    <t xml:space="preserve">As a PyTorch Foundation Ambassador, I would contribute by building community, providing technical education, mentoring, and creating content.
My planned contributions include:
1. Organizing quarterly PyTorch-focused events or virtual sessions
I would host practitioner-oriented sessions covering topics such as PyTorch for applied machine learning, PyTorch for transformer-based modeling, vLLM for inference, Ray for scalable AI workloads, and responsible AI deployment patterns.
2. Supporting Austin and regional AI/ML community growth
I am based in Austin, Texas, and already engage with professional and technical communities. I would use this network to help grow awareness of PyTorch Foundation projects through local meetups, webinars, student outreach, and practitioner learning sessions.
3. Creating educational content
I would create short tutorials, articles, notebooks, or videos that explain PyTorch concepts in a practical way. Example topics include:
- PyTorch for enterprise AI practitioners
- PyTorch patterns for agentic AI systems
- PyTorch and vLLM for inference-focused applications
- Responsible AI experimentation and model evaluation
- Bridging research prototypes to production AI systems
4. Mentoring new contributors and practitioners
I would help students, early-career engineers, and enterprise practitioners learn PyTorch, build practical AI projects, contribute to open-source ecosystems, and connect model development to real-world use cases.
5. Promoting PyTorch Foundation values
I would support open collaboration, inclusive learning, knowledge sharing, and responsible technical advocacy across the PyTorch ecosystem.
</t>
  </si>
  <si>
    <t xml:space="preserve">My contributions are centered on bringing PyTorch and LibTorch into AI for chemistry, biomolecular modeling, and molecular dynamics. I recently completed a Ph.D. in Chemical and Biomolecular Engineering at UC Irvine, where my research focused on AI for Science, scientific machine learning, LLMs, and computational chemistry. My Google Scholar profile lists research areas in AI for Science, Scientific Machine Learning, and Large Language Models, with publications spanning neural models for molecular surfaces, reaction-field energy prediction, Poisson-Boltzmann electrostatics, LLMs for biology, and molecular simulation software.
A major part of my open-source contribution is in the Amber ecosystem, a foundational and widely used software suite for molecular dynamics simulation. I have worked as a core developer/contributor on deploying machine-learning biomolecular models into the [Amber runtime through LibTorch](https://ambermd.org/doc12/Amber26.pdf#page=114.14), helping bridge PyTorch models with production molecular simulation workflows. My public repositories include AmberTorchPB, a C++ LibTorch backend for accelerator-aware Poisson-Boltzmann-based reaction field energy calculation; PBGNN, a PyTorch implementation for end-to-end modeling of reaction-field energy using geometric graph neural networks; Con2SES, a PyTorch model for efficient molecular surface construction with a LibTorch inference pipeline included in AmberTools25; GENIUSES, a neural interface model for molecule surface construction; and pGM3P-25, a Bayesian black-box optimization workflow for polarizable water model development.
These projects make PyTorch-based methods more accessible to computational chemists, biomolecular engineers, and molecular simulation researchers who may not come from a traditional machine learning background. In addition to research and software, I have taught and mentored students as a teaching assistant for biochemistry, engineering biology, computational biology, molecular biology, and microbiology lab courses. I have also served as a peer reviewer for computational chemistry and molecular modeling journals. Supporting links: GitHub profile https://github.com/yxwu21, AmberTorchPB https://github.com/yxwu21/AmberTorchPB, PBGNN https://github.com/yxwu21/PBGNN, Con2SES https://github.com/yxwu21/Con2SES, Google Scholar https://scholar.google.com/citations?user=NbA1G3sAAAAJ.
</t>
  </si>
  <si>
    <t xml:space="preserve">I want to become a PyTorch Foundation Ambassador because PyTorch has been central to my growth as a researcher and developer, and I want to help more people experience that same entry point into modern AI. My background is interdisciplinary: I came from a pure chemistry undergraduate background, then moved into deep learning for chemistry, molecular dynamics, and LLM-based scientific applications. Because of that path, I understand the challenges beginners face when learning PyTorch from outside computer science, especially when they are trying to connect machine learning concepts with real scientific problems.
I also enjoy teaching, mentoring, and sharing new technical developments with others. As a woman working in AI and scientific software, I care about making the PyTorch community feel approachable to people who may not see themselves as traditional machine learning engineers. I would like to help create a stronger bridge between PyTorch and researchers in chemistry, biology, molecular simulation, and other AI for Science fields. Becoming an Ambassador would give me a meaningful way to contribute to the PyTorch community, share what I have learned, and support learners who are entering PyTorch from cross-disciplinary paths.
</t>
  </si>
  <si>
    <t>Additional context:
I bring a combination of enterprise AI leadership, applied AI research, community speaking, mentoring, and professional association leadership. My background includes AI/ML and cloud transformation programs, agentic AI systems, cybersecurity automation, responsible AI governance, and large-scale enterprise modernization.
I am also active in professional and academic communities through speaking, peer review, judging, mentoring, and leadership roles. This gives me a strong platform to help expand awareness and adoption of PyTorch Foundation projects among practitioners, researchers, students, and enterprise AI teams.
Relevant public profiles and supporting links:
- LinkedIn: https://www.linkedin.com/in/royjoyjit/
- Google Scholar: https://scholar.google.com/citations?hl=en&amp;user=66qcSP8AAAAJ
- GitHub: https://github.com/joyjitroy
- PMI Community Profile: https://community.pmi.org/profile/joyjitroy
- Credly: https://www.credly.com/users/joyjit-roy
- Scrum Alliance - https://www.scrumalliance.org/community/profile/jroy23</t>
  </si>
  <si>
    <t xml:space="preserve">As a PyTorch Foundation Ambassador, I would contribute through content creation, educational outreach, mentorship, and open-source advocacy for AI for Science. I am fluent in Chinese and English, so I can create bilingual tutorials, talks, and educational materials that help both English-speaking and Chinese-speaking communities learn PyTorch and LibTorch. I would especially like to create practical content around PyTorch for molecular modeling, graph neural networks, scientific ML workflows, LibTorch deployment, and LLM applications in chemistry and biology.
I would also organize or support workshops for university students and researchers who want to use PyTorch but do not have a traditional computer science background. My recent Ph.D. experience and university connections give me access to students, postdocs, and faculty working across chemistry, biomolecular engineering, computational biology, and AI for Science. I can help the PyTorch Foundation reach interdisciplinary scientific communities by offering hands-on notebooks, starter examples, reproducible research code, and beginner-friendly explanations.
On the open-source side, I would continue contributing examples and scientific software that demonstrate how PyTorch and LibTorch can be used in production molecular simulation tools such as Amber. I would also like to mentor new contributors, answer questions from learners, and advocate for clearer pathways from research prototypes to deployable PyTorch/LibTorch applications.
</t>
  </si>
  <si>
    <t>I recently completed my Ph.D. in Chemical and Biomolecular Engineering at UC Irvine, with research focused on AI for Science, molecular dynamics, computational chemistry, scientific machine learning, and LLMs. My work has produced multiple first-author publications in Journal of Chemical Theory and Computation and Journal of Physical Chemistry Letters, including a feature cover article, as well as research contributions in LLMs for biology and single-cell omics. I have teaching experience across computational biology, biochemistry, engineering biology, molecular biology, and microbiology lab courses. I am multilingual in English, Mandarin, and Cantonese, and I would be excited to support both global and bilingual PyTorch education efforts.</t>
  </si>
  <si>
    <t>Strong community and leadership evidence. Very limited evidence for  PyTorch specifc activities.</t>
  </si>
  <si>
    <t>Exceptional PyTorch and LibTorch technical contribution through open scientific software and integration into the Amber ecosystem, supported by research and repositories. The bilingual AI-for-Science education plan would bring valuable domain expertise to new communities.</t>
  </si>
  <si>
    <t>sihart25</t>
  </si>
  <si>
    <t xml:space="preserve">Simon Hartley
</t>
  </si>
  <si>
    <t xml:space="preserve">Cambridge, Cambridgeshire, United Kingdom
</t>
  </si>
  <si>
    <t xml:space="preserve">0–1 years
</t>
  </si>
  <si>
    <t xml:space="preserve">github.com/sihart25
</t>
  </si>
  <si>
    <t xml:space="preserve">https://www.linkedin.com/in/simon-hartley-941419336?
</t>
  </si>
  <si>
    <t xml:space="preserve">- [x] PyTorch
- [x] vLLM
- [ ] DeepSpeed
- [x] Ray
- [ ] Helion
- [X] Safetensors
- [ ] Other
</t>
  </si>
  <si>
    <t xml:space="preserve">- [ ] Open source contributions
- [X] Technical content creation
- [X] Community leadership
- [x] Events or workshops
- [x] Research or academic work
- [ ] Mentorship
- [x] University or student outreach
- [ ] Translation or localization efforts
- [ ] Other
</t>
  </si>
  <si>
    <t xml:space="preserve">The nominee is currently contributing to Pytorch Foundation projects by forming user communities as part of the UK's AI Research Resource (AIRR)[https://www.gov.uk/government/publications/ai-research-resource] a suite of advanced supercomputers that provides AI-specialised compute capacity to researchers, academia, and industry.
The nominee has been working specifically with the UK’s national institute for data science and artificial intelligence [www.ati.ac.uk](https://www.turing.ac.uk/research/research-areas/artificial-intelligence), (since 2022) and the [AI@Cam](https://www.ai.cam.ac.uk/) initiative at Cambridge University(since 2025).  This initiative is the universities flagship mission to develop AI for the benefit of science, citizens, and society.
Previously the nominee was forming a 'pytorch' AI community whilst working with the Birmingham University Centre for Artificial Intelligence in Government (CAIG) which was using LLMs for case studies involving simulating a dialogue between representatives of two nations on issues of international importance e.g. a current conflict. 
During these periods the nominee has been creating the communities by:
- running 1-to-1 sessions, 
- drop-in sessions 
- running workshops for NVIDIA Deep Learning Institute 
	- in AI and in CUDA.
- Student Programming Challenge
	- in which students performed image segmentation from CNNs to infer the volume of the left ventricle of the human heart from time-series MRI data.
- AMD GPU Hackathon
	- In which the nominee worked with two different research teams, One in Health Science an One in Politics, which wanted to utilize `pytorch` on AMD Hardware
All of these have extensively used the Pytorch Foundation Project `Pytorch`, and now the nominee is trying to develop new user groups in `VLLM`, `Safetensors` and `Ray`. 
The nominee has made materials, slides, videos, interactive notebook tutorials and git-lab code repositories that use these projects and aim to teach both researchers and small and medium enterprises how to utilize `pytorch` and `VLLM` on very large scale systems that the nominee and they have access too. 
</t>
  </si>
  <si>
    <t xml:space="preserve">The nominee wants to become a PyTorch Foundation Ambassador as they have a significant user base which is active and expanding both in academic and industry. Specifically, the nominee has a niche position in the UK having access to both active Artificial Intelligence researchers who want to push the cutting edge and to small and medium enterprise users who are trying to move to production code for both fine tuning and inference on very large scale systems.
The nominee has the ability to aid these communities by testing code for research, fine-tune, perform inference, benchmark/testing upon a unique set of very large scale systems:
- [CSD3](https://docs.hpc.cam.ac.uk/) **NVIDIA A100** GPUs
- [Dawn](https://docs.hpc.cam.ac.uk/user-guide/pvc.html) **Intel Data Center GPU Max 1550** GPUs
- [Zenith](https://www.cam.ac.uk/news/dsit-minister-attends-launch-of-cambridge-zenith-ai-supercomputer)**AMD Instinct MI355X** GPUs
The nominee would like to continue with existing users and encourage them to use 'pytorch' forums instead of internal forums or relying on help desk standard responses.
</t>
  </si>
  <si>
    <t>The nominee is a Senior Artificial Intelligence Research Engineer who can contribute to technical documentation and can share a breadth of knowledge for Artificial Intelligence research software engineering from over the past decade.
Objectives for the nominee in the</t>
  </si>
  <si>
    <t xml:space="preserve"># Technical Education
The nominee  provides technical education in the form of drop-in sessions and 1-to-1 sessions on a monthly basis and will continue to do these but adding more forum and blog posts for the issues and solutions provided.
# Research &amp; Academia
 The nominee is part of the [AI Research Resource](https://www.linkedin.com/posts/get-free-access-to-the-uks-most-powerful-share-7381629913826488320-_IeC/), a UK national supercomputing infrastructure as well involved with the national institute for data science and artificial intelligence [www.ati.ac.uk](https://www.turing.ac.uk/research/research-areas/artificial-intelligence), and with UK local Initiatives like the [AI@Cam](https://www.ai.cam.ac.uk/) initiative at Cambridge University and the Birmingham University Centre for Artificial Intelligence in Government [CAIG](https://www.birmingham.ac.uk/research/centres-institutes/centre-for-artificial-intelligence-in-government) 
With these connections the nominee aims to promote the PyTorch Foundation Projects and best practices in academia whilst advertising the current cutting edge in research. The nominee in involved with cutting edge research from a variety of groups at the UKs top AI research universities.
# Events &amp; Workshops
The nominee would like to run Workshops each term (for a total of three in a year) each focusing on using  a different PyTorch Foundation Project or Series of Projects `Pytorch`,  `VLLM`, and `Ray` materials / event are planned for Winter 2026. The nominee has ran deep learning workshops for NVIDIA: [Getting Started with Deep Learning](https://learn.nvidia.com/courses/course-detail?course_id=course-v1:DLI+S-FX-01+V1) ,[the Carpentries](https://carpentries.org/) workshops in[linux](https://swcarpentry.github.io/shell-novice/)      and contributed to the lessons on [intermediate python](https://carpentries-incubator.github.io/python-intermediate-development/), and [HPC](https://carpentries.org/blog/2026/02/adopting-hpc-carpentry/) so has experience in organizing and delivering this.
The nominee would run a workshop on 'pytorch' at the Durham [HPC 2027](https://hpc-days.github.io/Durham-HPC-Days-2026/programme-days/) for the UK HPC Research Software Engineering community.
# Content Creation
The nominee has already created basic content  for the PyTorch Foundation Projects `Pytorch`,  `VLLM`, and `Ray` for local consumption but wants to grow a series of online community lessons like [the Carpentries](https://carpentries.org/)  but focusing on vendor agnostic use of  PyTorch Foundation Projects
# Regional Community Growth 
The nominee aims to promote Regional community growth through drop-ins and through a series of planned events and promotion of online materials.
 Ambassador Focus Areas
- [ ] Community Building
- [x] Technical Education
- [ ] Open Source Contributions
- [x] Research &amp; Academia
- [ ] Developer Advocacy
- [ ] Mentorship
- [x] Events &amp; Workshops
- [x] Content Creation
- [x] Regional Community Growth
- [ ] Other
</t>
  </si>
  <si>
    <t>I am a researcher who has completed a Doctorate in physics and artificial intelligence. I am currently working as a senior artificial intelligence research engineer at Cambridge University in High Performance Computer Systems. I have significant research experience at various UK universities over the course of my career. I am currently working in pytorch using VLLM. I have recently completed a project with which used Actor-Critic Reinforcement Learning(RL) algorithm for social science modelling of housing. I have written software which uses C++, Open CV and uses You Only Look Once (YOLO) for object detection. I have also written software with U-NET and Pytorch for Sperm Analysis. I am an nvidia deep-learning instructor and I am a certified TensorFlow developer. I have just joined the pytorch community but I am a long time pytorch user on small and very large scale systems for academic research.</t>
  </si>
  <si>
    <t>Strong evidence of PyTorch user-community formation, workshops, tutorials, and experience supporting research and SME users on major AI systems. The stated Ambassador plan is incomplete, which limits confidence in near-term feasibility and measurable value.</t>
  </si>
  <si>
    <t>Exceptional vLLM community impact: repeated regional meetups, Chinese office hours, and a documented event reaching 350+ in person and 41,000+ online. The continuing quarterly-meetup and monthly-office-hours plan is realistic and highly valuable to the Foundation ecosystem.</t>
  </si>
  <si>
    <t>The application makes broad claims about AI workflows but provides no supporting examples, PyTorch-specific engagement, community record, or concrete Ambassador activities.</t>
  </si>
  <si>
    <t>Shubbair</t>
  </si>
  <si>
    <t xml:space="preserve">Hussain Salih
</t>
  </si>
  <si>
    <t xml:space="preserve">Iraq
</t>
  </si>
  <si>
    <t xml:space="preserve">https://github.com/Shubbair
</t>
  </si>
  <si>
    <t xml:space="preserve">https://www.linkedin.com/in/shubbair/
</t>
  </si>
  <si>
    <t xml:space="preserve">- [ ] Open source contributions
- [ ] Technical content creation
- [ ] Community leadership
- [ ] Events or workshops
- [x] Research or academic work
- [x] Mentorship
- [x] University or student outreach
- [x] Translation or localization efforts
- [ ] Other
</t>
  </si>
  <si>
    <t xml:space="preserve">I led workshops, talks, and mentoring programs for three years at GDGSc. Additionally, I served as a Machine Learning Mentor at SHAI for AI and collaborated on international AI research projects with ReachSci. I was also recognized with the TensorFlow Community Spotlight Award and the ReachSci Silver Innovator Award for my work. In summary, I have both educational and practical experience in delivering workshops, talks, and mentoring sessions.
</t>
  </si>
  <si>
    <t xml:space="preserve">To grow the community of PyTorch, we should provide workshops and code labs tutorials, whether online or in-person, especially for the Arabic community. 
Additionally, we should contribute to open-source PyTorch projects and implement papers that haven’t been implemented for PyTorch, Also sharing my previous experience with AI.
</t>
  </si>
  <si>
    <t xml:space="preserve">- Organizing workshops, educational sessions, and developer events focused on practical PyTorch applications in computer vision, NLP, and healthcare AI
- Implement  various LLM types with Pytorch in explainable way
- make technical content and tutorial
- build new style Pytorch approch for kids to learn modeling
</t>
  </si>
  <si>
    <t xml:space="preserve">- [x] Community Building
- [x] Technical Education
- [ ] Open Source Contributions
- [x] Research &amp; Academia
- [ ] Developer Advocacy
- [ ] Mentorship
- [ ] Events &amp; Workshops
- [ ] Content Creation
- [x] Regional Community Growth
- [ ] Other
</t>
  </si>
  <si>
    <t>Has credible prior workshop, talk, and mentoring experience, including work with Arabic-language communities. Direct PyTorch engagement and the proposed activity plan need more specific evidence, scope, and success measures.</t>
  </si>
  <si>
    <t>DebasishMaji</t>
  </si>
  <si>
    <t xml:space="preserve">Debasish Maji
</t>
  </si>
  <si>
    <t xml:space="preserve">https://github.com/DebasishMaji
</t>
  </si>
  <si>
    <t xml:space="preserve">https://www.linkedin.com/in/debasishmaji
</t>
  </si>
  <si>
    <t xml:space="preserve">https://www.learnaibybuilding.com
</t>
  </si>
  <si>
    <t xml:space="preserve">- [x] Open source contributions
- [x] Technical content creation
- [x] Community leadership
- [x] Events or workshops
- [x] Research or academic work
- [x] Mentorship
- [x] University or student outreach
- [x] Translation or localization efforts
- [x] Other
</t>
  </si>
  <si>
    <t xml:space="preserve">I am a Senior AI Engineer at  Microsoft￼ with 10+ years of software engineering experience and 4.5+ years focused on AI/ML systems built using PyTorch and the broader open-source AI ecosystem.
Over the years, I have worked across leading technology companies including  Microsoft￼,  Atlassian￼, and  PhonePe￼ (part of the  Walmart￼ /  Flipkart￼ ecosystem), building large-scale AI, platform, and distributed systems used by millions of users.
My professional work has included:
* Embedding-based retrieval systems
* AI-assisted developer tooling
* Large-scale search and ranking systems
* Scalable inference pipelines
* AI productivity workflows
* Distributed backend and platform engineering
These systems leveraged modern deep learning and generative AI workflows built around PyTorch-powered ecosystems, Transformers, embeddings, vector search, and LLM infrastructure.
Beyond my professional work, my strongest contributions to the PyTorch ecosystem come from the communities and educational platforms I have built.
I founded  ThriveWithAI.live￼ and  LearnAIByBuilding.com￼ to help developers and working professionals learn AI through hands-on, implementation-first learning rather than passive theory.
Through these initiatives, I have:
* Built a growing AI learning community of 500+ developers and engineers
* Conducted live AI workshops, webinars, and collaborative learning cohorts
* Designed a 20-week AI/ML Professional Track with 40+ practical projects
* Mentored engineers transitioning into AI and open-source contribution
* Taught PyTorch, Transformers, RAG, LLM fine-tuning, LoRA/QLoRA, AI agents, and production AI engineering through real-world implementation
I also founded  NeuroX Labs￼, where I work on applied AI systems, multimodal AI, agentic workflows, and production-grade LLM infrastructure, and  CareOf.life￼, an AI-driven healthcare and wellness platform exploring responsible AI applications for personalized care.
A recent example of my community impact was a webinar I conducted on Claude Code and AI-assisted engineering workflows. Within a day of the session, attendees shared that they had already started applying the concepts directly in their development workflows — reinforcing my belief that practical AI education creates immediate real-world impact.
Webinar highlights:
* Claude Code Webinar Highlights￼
Across all my initiatives, PyTorch serves as a foundational technology for:
* Deep learning experimentation
* LLM fine-tuning and inference
* Embedding systems and vector search
* AI agents and orchestration
* Multimodal AI systems
* Scalable deployment workflows
* Production AI engineering
What differentiates my contribution is that I am not only building AI systems — I am building AI practitioners and open-source AI communities. My mission has consistently been to help developers move from AI curiosity to practical implementation and meaningful contribution within the open-source ecosystem.
Supporting links:
* GitHub:  https://github.com/DebasishMaji￼
* Thrive With AI:  https://www.thrivewithai.live/￼
* Learn AI By Building:  https://www.learnaibybuilding.com/￼
* NeuroX Labs:  https://www.neurox-labs.com/￼
* CareOf.life:  https://www.careof.life/￼
* Hugging Face:  https://huggingface.co/debasishmath92￼
* LinkedIn:  https://www.linkedin.com/in/debasishmaji/
</t>
  </si>
  <si>
    <t xml:space="preserve">PyTorch has been central to my work as an AI engineer, educator, and community builder. Over the last several years, I’ve used PyTorch-powered ecosystems to build production AI systems at scale across companies like  Microsoft￼,  Atlassian￼, and  PhonePe￼, while also helping developers adopt practical AI engineering through community-led education initiatives.
I want to become a PyTorch Foundation Ambassador because I believe the next phase of AI growth will be driven not just by models, but by communities that can effectively build, apply, and scale AI responsibly.
Through  ThriveWithAI.live￼ and  LearnAIByBuilding.com￼, I’ve focused on bridging the gap between AI research and real-world implementation by helping developers learn PyTorch, LLMs, RAG systems, and agentic AI through hands-on building rather than passive consumption.
What motivates me most is enabling engineers to become contributors instead of spectators in the AI ecosystem.
As an Ambassador, I want to scale that impact further through:
* Practical PyTorch education
* Open-source community building
* Mentorship and developer enablement
* Workshops and implementation-focused learning
* Expanding access to production-grade AI knowledge
I already spend a significant part of my time building AI communities, mentoring engineers, and advocating practical open-source AI adoption. Becoming a PyTorch Foundation Ambassador would allow me to contribute at a larger ecosystem level and help grow the next generation of AI builders around PyTorch.
</t>
  </si>
  <si>
    <t xml:space="preserve">I would contribute as a PyTorch Foundation Ambassador by combining three areas where I already actively operate today: large-scale AI engineering, practical AI education, and community building.
Through my experience at  Microsoft￼,  Atlassian￼, and  PhonePe￼, I bring a strong production engineering perspective to the ecosystem — helping developers understand not just how models work, but how PyTorch-powered systems are designed, scaled, deployed, and used in real-world environments.
As an Ambassador, I would focus on expanding practical, implementation-first AI learning through:
* Workshops and live technical sessions
* Community-led learning cohorts
* Open-source demos and implementation projects
* Educational content around PyTorch, LLMs, RAG systems, AI agents, and scalable AI workflows
* Mentorship for developers transitioning into AI engineering
I already do this actively through  ThriveWithAI.live￼ and  LearnAIByBuilding.com￼, where I’ve built a growing community of 500+ developers and working professionals learning AI through collaborative, hands-on building.
I would also contribute by:
* Encouraging more engineers to participate in open-source AI ecosystems
* Helping bridge the gap between AI research and production engineering
* Creating more accessible pathways for developers entering the PyTorch ecosystem
* Supporting local and global AI communities through mentorship and knowledge-sharing
* Promoting responsible and practical adoption of open-source AI technologies
One area I care deeply about is helping developers move from passive AI consumption to active contribution and system-building. I believe PyTorch’s long-term strength comes from enabling more builders globally, especially engineers who are eager to contribute but need practical guidance and community support.
The Ambassador role would allow me to scale the community work I am already committed to and contribute more directly to the growth, accessibility, and long-term impact of the PyTorch ecosystem.
</t>
  </si>
  <si>
    <t>Additional supporting resources and community initiatives:
* Thrive With AI (live AI learning platform):
    https://www.thrivewithai.live/￼
* Learn AI By Building (community-driven AI learning initiative):
    https://www.learnaibybuilding.com/￼
* NeuroX Labs (applied AI systems and agentic AI experimentation):
    https://www.neurox-labs.com/￼
* CareOf.life (AI-driven healthcare and wellness platform):
    https://www.careof.life/￼
* GitHub profile and open-source work:
    https://github.com/DebasishMaji￼
* Hugging Face profile:
    https://huggingface.co/debasishmath92￼
* LinkedIn profile and technical/community updates:
    https://www.linkedin.com/in/debasishmaji/￼
* Recent webinar on Claude Code and AI-assisted engineering workflows:
    https://youtu.be/iYBoZoE9fUA?si=ibomWNGU4GYS429a￼
In addition to my engineering work at Microsoft and previous experience at Atlassian and PhonePe, I actively invest time in mentoring developers, building practical AI learning ecosystems, and helping engineers transition into real-world AI engineering through implementation-focused education and community collaboration.
My long-term goal is to make practical AI engineering more accessible globally and help grow a stronger open-source AI ecosystem around PyTorch and modern generative AI technologies.</t>
  </si>
  <si>
    <t>Demonstrates a substantial hands-on education program, a 500+ developer community, and practical AI instruction that includes PyTorch. The plan extends existing workshops and cohorts effectively, though direct contributions to Foundation projects are not clearly evidenced.</t>
  </si>
  <si>
    <t>Reviewer 09 — Applications &amp; Scoring</t>
  </si>
  <si>
    <t>Brings credible applied-AI, mentoring, technical-speaking, and professional-community experience, with a practical quarterly-event and content plan. The application shows less direct PyTorch/Foundation contribution than its broader AI and enterprise advocacy record.</t>
  </si>
  <si>
    <t xml:space="preserve">This candidate's application only references a single instance of contribution to the ecosystem in the form of helping to define materials for the foundations PCTA evaluation. This content represents a tangible benefit to the ecosystem, but on its own accessibility is limited to those who can afford or are sponsored to recive such training and certification. There is an overall lack of demonstrated prior art in the PyTorch comunity, or in open source in general. The candidate's plans reference vauge efforts (speaking at conferences) and there is no evidence that the submitter has the requisite expertise to benefit an audience seeking information on production capibilities, inference optimization and distributed computation. </t>
  </si>
  <si>
    <t xml:space="preserve">This candidate shows eagerness and excitment that should be encouraged, and I would encourage them to submit applications in the future. However, at this stage their technical contributions are limited to their own side project and a fork of PyTorch without much in the way of upstream interaction. Thier proposed activity is also very broad, a more focused effort concentrated on educational activity and student user groups would be interesting to see in the future. </t>
  </si>
  <si>
    <t xml:space="preserve">This candidate has a track reccord of technical writing that demonstrates deep understanding of the inference story and how the foundation projects vLLM and PyTorch are critical to it. In addition to writing, he has contributed directly to projects, has a long history of open source contributions and leadership credentials that mean he can add organizational momentum to what is already a strong individual application. </t>
  </si>
  <si>
    <t xml:space="preserve">This candidate has done some previous work in generating educational material and proposes to focus on community building in accedemic spaces, and acessibility to user educational material in specific language groups which are under represented. This is a solid vision, but I see a lack of previous engagement with the community and open source in general. Indeed it seems that their application was the first activity on their github profile. The narrow and reasonable scope of their proposed activity combined with it having a strong value proposition lead to better ratings in categories reflected in the borderline reccomendation. </t>
  </si>
  <si>
    <t xml:space="preserve">The candidate presents a clear and actionable plan for their proposed activity and provides some evidence of ability through their response to the additional information. However review of their public profiles does not find any supporting evidence that they have a track record of comunicating technical concepts. Their proposed activity is also quite general and lacking specific concrete details that leads the reviewer to suppose that they would focus on user interest groups they have stated their involvement with or spin-outs for a pytorch focused group associated with the same regional focus. </t>
  </si>
  <si>
    <t>Reviewer 11 — Applications &amp; Scoring</t>
  </si>
  <si>
    <t>Reviewer 10 — Applications &amp; Scoring</t>
  </si>
  <si>
    <t xml:space="preserve">This candidate references activites they have participated in as an educator and mentor which provides evidence of ability to achive any of the planned activites all of which will bring opportunities for learning and using pytorch to students in India. While any planned activity seems reaonsable and achieveable the volume proposed does seem ambitious. There is also a lack of open access material to demonstrate tehcnical writing/engagement, so assesment is based solely on creditials and associations with educational organizations. I think this person could do a great deal to educate students and give them opportunity to work with pytorch in a mentored environment and would be a good allocation of resources to admit them to the ambassador program. </t>
  </si>
  <si>
    <t>24 assigned applications • orange cells are reviewer inputs</t>
  </si>
  <si>
    <t xml:space="preserve">This candidate provides strong evidence the form of the MPS DDP implementation they have created and tested. They have shared about this work through a discussion on the tutorials page, but no outreach has been made regarding upstreaming the contributions into core. They also do not present a clear outline of their planned activity rather expressing interest in becoming a more active contributor in OSS. This is a notable goal but would not require or benefit from the support of formal acceptance into the ambassador program. I would encourage the applicant to seek out exisiting user groups in the Bay area to accomplish their goals of increasing activity and contiribution in OSS, in the future they may form concrete ideas for a proposal which I think would lead to a stronger application. </t>
  </si>
  <si>
    <t xml:space="preserve">This candidate presents a reasonable concrete vision for how they would participate in the comunity through the ambassador program to both reach their local university community and the wider community of users comunicating through non-english media. This is a strong value prop and they candidate has demonstrated capibility to see it through. The application is primarily hurt by a lack of prior engagement with the community, none of the existing materials seem to be directed at the same audience as their proposed ambassador activity. </t>
  </si>
  <si>
    <t>ab-naidu</t>
  </si>
  <si>
    <t xml:space="preserve">Appalanaidu Bobbili
</t>
  </si>
  <si>
    <t xml:space="preserve">Irving,Texas
</t>
  </si>
  <si>
    <t xml:space="preserve">https://github.com/ab-naidu
</t>
  </si>
  <si>
    <t xml:space="preserve">https://www.linkedin.com/in/naidubobbili1212/
</t>
  </si>
  <si>
    <t xml:space="preserve">- [x] Open source contributions
- [x] Technical content creation
- [x] Community leadership
- [x] Events or workshops
- [x] Research or academic work
- [x] Mentorship
- [ ] University or student outreach
- [ ] Translation or localization efforts
- [ ] Other
</t>
  </si>
  <si>
    <t xml:space="preserve">Over the past year, my technical focus has been exclusively dedicated to engineering advanced agentic systems and multimodal AI applications, heavily leveraging the PyTorch ecosystem. My community contributions primarily stem from active participation in global AI hackathons, where I build open-source prototypes that demonstrate complex reasoning loops and applied machine learning.
Recent technical contributions include:
Hypernoa Astrum (March 2026): Developed during the OpenEnv &amp; PyTorch hackathon. This project focused on building an advanced agentic environment utilizing PyTorch as the underlying engine. Link to GitHub https://github.com/ab-naidu/hypernoa-astrum
Flux AI (March 2026): Created during a Multimodal Frontier Hackathon, this system employs vision-based agents to autonomously convert physical inventory into structured digital data. Link to GitHub https://github.com/ab-naidu/flux-ai
Life Graph (January 2026): Developed during the Gemini 3 Devpost hackathon, focusing on advanced data structuring and retrieval. Link to GitHub https://github.com/ab-naidu/LIFEGRAPH
Beyond building, I am highly active in peer-to-peer learning networks, regularly sharing insights on integrating PyTorch models with orchestration frameworks like LangChain and LangGraph via FastAPI. My impact is measurable through the open-source release of these hackathon projects, providing reference architectures for developers looking to build modern, agent-driven applications.
</t>
  </si>
  <si>
    <t xml:space="preserve">My current professional trajectory is entirely dedicated to the study of Artificial General Intelligence (AGI) and Artificial Superintelligence (ASI). I spend significant time daily dissecting world models, reasoning loops, and advanced model architectures. PyTorch is the undeniable bedrock of this frontier research.
I want to become a PyTorch Ambassador because I am passionate about bridging the gap between theoretical AI research and applied engineering. Transitioning into deep tech requires demystifying complex concepts for the broader developer community. The PyTorch Foundation champions the openness and collaboration necessary to make this happen. Being an Ambassador would allow me to formally channel my intensive daily research into structured, accessible knowledge for others, while simultaneously immersing myself deeper into the core community driving the future of AI.
</t>
  </si>
  <si>
    <t xml:space="preserve">As an Ambassador, I would leverage my experience of software engineering and IT strategy experience to help developers transition from traditional software development to building robust, production-ready AI systems. My contributions would focus on:
Technical Content Creation: Writing hands-on tutorials and architectural breakdowns on how to seamlessly integrate PyTorch models with modern agentic frameworks (LangGraph, LangChain) and deploy them efficiently using FastAPI.
Regional Community Building: Operating out of the Texas area, I plan to organize local meetups and technical workshops focused on applied AI, specifically targeting developers who want to move beyond basic API calls to training, fine-tuning, and deploying custom models using PyTorch.
Mentorship: Actively mentoring builders in upcoming hackathons, guiding them on best practices for structuring PyTorch-based multimodal projects and troubleshooting environment setups.
</t>
  </si>
  <si>
    <t xml:space="preserve">This candidate has primarily been involved up to this point through participation in hackathons and dev sprints and brings deeper experience with downstream technologies. They propose to expand their activity to technical writing, and getting invovled as a mentor and organizer of hackathons. The prior art from this candidate is a bit light, but their proposal is clear and attainable value added to the community is negatively reflected in a geographical area of focus that already has significant activity in the form of meetups and working professionals. However that would mean that the environment is ripe with opportunity for them to act on the plans here. </t>
  </si>
  <si>
    <t>Strong community focus with a well-structured Portuguese PyTorch education initiative, practical content, and good potential to grow the PyTorch ecosystem in Brazil/Latin America. Main limitation is that most impact is currently planned rather than demonstrated.</t>
  </si>
  <si>
    <t>limitless-100</t>
  </si>
  <si>
    <t xml:space="preserve">Adesina Lekan Samuel
</t>
  </si>
  <si>
    <t xml:space="preserve">Ife Central, Osun State, Nigeria
</t>
  </si>
  <si>
    <t xml:space="preserve">https://github.com/limitless-100
</t>
  </si>
  <si>
    <t xml:space="preserve">https://www.linkedin.com/in/lekan-adesina-0845a3221
</t>
  </si>
  <si>
    <t xml:space="preserve">https://x.com/limitless__100
</t>
  </si>
  <si>
    <t xml:space="preserve">- [x] PyTorch
- [x] vLLM
- [x] DeepSpeed
- [ ] Ray
- [x] Helion
- [x] Safetensors
- [ ] Other
</t>
  </si>
  <si>
    <t xml:space="preserve">Reasonable proposed scope with attainable goals and a clear value prop. Prior art to demonstrate they have the ability to do the proposed work. </t>
  </si>
  <si>
    <t xml:space="preserve"> **Research Papers**
- [Investigating the Structure of LK-99 Using Topological Data Analysis: A Challenge to Superconductivity Claims](https://meetings.ams.org/math/jmm2026/meetingapp.cgi/Paper/56760) Preparing an extended version for journal submission in July 2026.
- [Quantisation Techniques for Diacritized Yoruba Transformer Models](https://openreview.net/forum?id=S8eAg9bzbZ&amp;referrer=%5Bthe%20profile%20of%20Lekan%20Samuel%20Adesina%5D(%2Fprofile%3Fid%3D~Lekan_Samuel_Adesina1))
- Supported by Google TPU Research Cloud, my ongoing research project from MathQuantum Research Fellowship (University of Maryland, USA) heavily relies on PyTorch pipelines in simulating Gross-Pitvaeskii equations using neural operators and deep generative modeling techniques.
 **Community Outreach**
- I am a core team lead of Google Developer Groups on Campus OAU and current co-organizer of [GDG-OAU's Build with AI](https://www.bwaioau.site/) event where we have taught hundreds of our campus students in leveraging Python, PyTorch and AI to build amazing solutions from cybersecurity, cloud computing, machine learning to game development, quantum computing and quantitative finance. Our grand event coming up in July 2026 is expecting roughly ~300 attendees and research poster presentations in arts, humanities and science related to AI.  
</t>
  </si>
  <si>
    <t xml:space="preserve">As a first-generation college student living with a physical disability, my daily drive comes from a desire to be a role model for others facing similar challenges. I have three years of research experiences in mathematics, quantum computing/quantum physics, ML, and AI safety. 
My main motivation to become a PyTorch Foundation Ambassador is to make advanced tech career paths more inclusive and accessible. I want to empower underrepresented communities and young students by exposing them to the vast opportunities within the PyTorch ecosystem—showing them that whether their interests lie in kernel engineering, inference, or business applications, there is a place for them to build and innovate.
</t>
  </si>
  <si>
    <t xml:space="preserve">- **Educational Outreach:** Hands-on workshops and events for high school, university students and faculty. This also include occasional speaking events featuring industry and academia experts (virtual and physical). In addition, I aim to partner with existing student organizations on campus such as Microsoft, IEEE, Google, Amazon, etc.
- **Mentoring Open-Source Contributors:** Modeled after [Unitary Hack](https://unitaryhack.dev/), I aim to create a one-month open-source competition once in every quarter. Personally, I am an active open-source contributor currently working on a high-performance AI mesa-optimization project (MesaNet), mentored informally by Google Research Scientist Johannes Oswald.
- **Research &amp; Academic**: Bi-weekly online community calls that aim to reproduce trending impactful research papers that mainly use PyTorch and its siblings.
-  **Grand Event** : Will be modeled after [GDG-OAU's Build with AI](https://www.bwaioau.site/).
</t>
  </si>
  <si>
    <t xml:space="preserve">- [x] Community Building
- [x] Technical Education
- [x] Open Source Contributions
- [x] Research &amp; Academia
- [ ] Developer Advocacy
- [x] Mentorship
- [x] Events &amp; Workshops
- [ ] Content Creation
- [ ] Regional Community Growth
- [ ] Other
</t>
  </si>
  <si>
    <t>girisiman</t>
  </si>
  <si>
    <t xml:space="preserve">Siman Giri
</t>
  </si>
  <si>
    <t xml:space="preserve">Chitlang, Nepal
</t>
  </si>
  <si>
    <t xml:space="preserve">https://github.com/girisiman?tab=repositories
</t>
  </si>
  <si>
    <t xml:space="preserve"> **Some of my academic aachievements**
• Fellow, 13th Heidelberg Laureate Forum: 200 exceptional young researchers worldwide to interact with Fields and Turing Laureates (2026)
• 1st Place in the National University Duel STEM Competition (2026)
• 1st Place in the National University SMART Challenge (2026): Worked on building a solar-powered AI-assisted early flood detection system.
• IEEE Signal Processing Research Fellow (ME-UYR Program) (2025)
• Top 10 Global Finalist (People’s Choice Award) in Google Solutions Challenge (2023)
• Achieved 58th place in the Kaggle AI Report Competition (AI Ethics category), out of 5,028 entrants
• Third Prize in Northern Countries Universities Mathematics Competition (2022)
• Olympiad Gold Medals in Physics, Chemistry, Biology and (bronze) Mathematics - National Contest (2020)
• Top 81 science students in the National Interswitch SPAK STEM Competition with 18,000+ candidates (2019)
• Top 500 qualifiers for National Cowbellpedia Mathematics Academy out of 18,000+ students (2018)
 **Some of the events I have organized in the past**
- [My Path into Grad School](https://www.linkedin.com/feed/update/urn:li:activity:7455619488508448768/?utm_source=share&amp;utm_medium=member_desktop&amp;rcm=ACoAADfLSqQBGnOHBB0jyjIDExP3GyV856rzsQI)
- [Secondary School Quantum Computing Outreach](https://www.linkedin.com/posts/lekan-adesina-0845a3221_the-2025-secondary-school-quantum-computing-activity-7438208089951985664-Wk7L?utm_source=share&amp;utm_medium=member_desktop&amp;rcm=ACoAADfLSqQBGnOHBB0jyjIDExP3GyV856rzsQI)
- [Quantitative Finance Event Sponsored by Jane Street](https://www.linkedin.com/posts/lekan-adesina-0845a3221_may-3-2025-was-an-incredible-day-for-ugcPost-7334964266518597632-finp/?utm_source=share&amp;utm_medium=member_desktop&amp;rcm=ACoAADfLSqQBGnOHBB0jyjIDExP3GyV856rzsQI)</t>
  </si>
  <si>
    <t xml:space="preserve">The nominee, a PhD student in AI and Robotics, has driven PyTorch adoption in Nepal through education and community building. They designed and led hands-on PyTorch workshops for graduate students, covering tensors, autograd, nn.Module, and training loops helping attendees transition from theory to practical implementation.
Additionally, they delivered a technical talk at the first-ever PyTorch meetup in Nepal, a foundational event for the local deep learning community. Their talk featured live coding, best practices, and Q&amp;A, directly contributing to the establishment of a sustainable PyTorch user group.
Through these efforts, the nominee has lowered barriers to PyTorch education in an emerging AI region, inspired follow-up community events, and equipped graduate students with practical skills for research.
</t>
  </si>
  <si>
    <t xml:space="preserve">The nominee wants to scale their grassroots PyTorch education work in Nepal. As a PhD student who taught graduate workshops and spoke at the first local PyTorch meetup, they seek Ambassador status to access Foundation resources (events, funding, networks) to build a sustainable community, mentor more students, and bridge Nepal's AI talent gap.
</t>
  </si>
  <si>
    <t xml:space="preserve">The nominee would leverage their position as a PhD student and local community builder to drive PyTorch adoption in Nepal through:
Regular educational events : 
Organize quarterly hands-on workshops for graduate students, focusing on research workflows (distributed training, model optimization, deployment with TorchServe).
Community growth:
Co-organize recurring PyTorch meetups, inviting guest speakers from academia/industry, and create a mentorship pipeline from beginner to contributor.
Open source engagement:
Guide students to submit their first PRs to PyTorch repositories (tutorials, documentation, or small bug fixes), turning learners into active contributors.
Feedback channel:
Relay community needs (e.g., localization, compute constraints) back to the Foundation, helping shape inclusive resources.
Cross-region collaboration: 
Connect Nepal's emerging PyTorch community with other South Asian ambassador-led groups for knowledge exchange.
</t>
  </si>
  <si>
    <t xml:space="preserve">The candidate presents a very broad list of activity without any concrete details. They have a limited footprint within the community themselvs. The proposed activity would be good for the comunity but this reviewer doubts that much would come from such a broad set of goals. </t>
  </si>
  <si>
    <t xml:space="preserve">Strong academic and research background with solid PyTorch teaching, mentorship, workshops, and community-building experience in Pakistan. Her university outreach and AI competition leadership are strong assets; main limitation is limited evidence of direct open-source </t>
  </si>
  <si>
    <t>The candidate's plan and vision is clear, and they have previously interacted with comunity in similar ways showing they have the ability to support the programs they wish to launch. An overall lack of such material and support groups in their geographical area strenghtens this proposal.</t>
  </si>
  <si>
    <t>Exceptional candidate with strong research, open-source, community leadership, mentoring, and university outreach experience. His GDG AI initiatives, PyTorch ecosystem work, and achievements demonstrate significant potential to grow the PyTorch community in Africa. One of the stronger candidates in this set.</t>
  </si>
  <si>
    <t xml:space="preserve">The candidate has a strong resume to support his planned activity in educational programs and working with students. However there are no specific plans detailing how that would grow with the support of the ambassador program, the activies presented here are already in progress without the program suport they could continue in their current form. </t>
  </si>
  <si>
    <t>trong technical and open-source profile with 9 merged PyTorch/ExecuTorch PRs and a Docathon Honorable Mention. Good potential for campus and regional community growth, but demonstrated community leadership, mentorship, and outreach are still limited. Worth considering, but below the stronger candidates.</t>
  </si>
  <si>
    <t>Some community and GDG experience, but limited evidence of substantial PyTorch contributions, technical content, research, or measurable community impact. The application is relatively generic and does not demonstrate the level of ecosystem engagement seen in stronger candidates.\</t>
  </si>
  <si>
    <t xml:space="preserve">This candidate already has a strong track reccord of hosting and suporting events in their educational community. I am confident that could bring value to an underrepresented geographical location through the continuation of these efforts. </t>
  </si>
  <si>
    <t>Good student-level PyTorch projects and mentoring experience, but limited evidence of sustained open-source contributions, community leadership, or measurable PyTorch ecosystem impact. The Ambassador proposal is largely future-oriented and does not yet demonstrate sufficient community reach for the program.</t>
  </si>
  <si>
    <t xml:space="preserve">Lacking concrete plans, and limited prior engagement with the community. </t>
  </si>
  <si>
    <t>The candidate shows some relevant technical and community experience, but the evidence of sustained PyTorch-specific contributions and broader community impact is limited. I would consider the candidate borderline at this stage.</t>
  </si>
  <si>
    <t>Exceptional community leadership and ecosystem engagement, with strong PyTorch contributions, APAC community building, event organization, academic/OSPO outreach, and technical advocacy. His 1,200+ member Bengaluru community and Foundation working-group leadership make him a highly valuable Ambassador for India/APAC.</t>
  </si>
  <si>
    <t>GrvLeo</t>
  </si>
  <si>
    <t xml:space="preserve">Gaurav Arora
</t>
  </si>
  <si>
    <t xml:space="preserve">Cupertino, California, USA
</t>
  </si>
  <si>
    <t xml:space="preserve">https://www.linkedin.com/in/gaurav-arora-18666633/
</t>
  </si>
  <si>
    <t xml:space="preserve">I am a Staff Software Engineer at Pinterest, where I work on production-scale AI and ML infrastructure. My focus is on PyTorch-based training and post-training infrastructure, LLM batch inference, GPU platform strategy, and reliability for large-scale ML systems.
Most of my PyTorch experience has been in production infrastructure. I have worked on PyTorch workloads across recommender systems, multimodal models, dense generative models, fine-tuning workflows, and newer post-training workloads. This includes work with PyTorch, TorchRec, DDP/FSDP, Ray, vLLM, benchmarking, and operational reliability.
I am currently serving as a Program Committee reviewer for PyTorch Conference North America 2026 across the Applications and Training tracks. Through that role, I am helping review technical submissions from the community and evaluate content relevant to the PyTorch ecosystem.
In November 2025, I gave a talk on distributed training at a Bay Area Machine Learning Platform Meetup. The audience included ML platform and infrastructure engineers from companies such as Netflix, Uber, Pinterest, LinkedIn, and Meta. The talk focused on practical lessons from scaling training systems in production environments.
A lot of PyTorch examples are great for getting started, but production teams run into a different set of problems: job reliability, scaling bottlenecks, data pipeline issues, GPU utilization, benchmarking gaps, and the handoff between training and serving. That is the area where I can contribute. I want to share practical lessons from operating PyTorch-based systems at scale and help other engineers avoid some of the same trial-and-error.
Supporting links:
LinkedIn: https://www.linkedin.com/in/gaurav-arora-18666633/
Distributed training talk meetup page / slides / video: https://machinelearningplatformmeetup.splashthat.com/ 
</t>
  </si>
  <si>
    <t xml:space="preserve">I want to become a PyTorch Foundation Ambassador because PyTorch is central to the AI infrastructure work I do every day. I have used it not just for experiments, but for real production workloads where reliability, scaling, cost, and operational tradeoffs matter.
There is a growing group of engineers working at the boundary of model development and infrastructure. They are responsible for making training, inference, benchmarking, evaluation, and GPU platforms actually work in production. PyTorch is at the center of a lot of this work, but many of the hard lessons are still shared informally inside companies or learned through trial and error.
My motivation is to help make those lessons more available to the broader PyTorch community. I would like to support engineers and teams who are taking PyTorch workloads from prototype to production and need practical guidance on what breaks, what scales, and what tradeoffs matter.
I have benefited a lot from the PyTorch ecosystem, and I want to give back by sharing practical content, mentoring engineers, participating in community discussions, and helping organize technical sessions for people working on production AI infrastructure.
</t>
  </si>
  <si>
    <t xml:space="preserve">As a PyTorch Foundation Ambassador, I would focus on technical education, content creation, mentorship, events/workshops, and community building for production AI infrastructure engineers.
The main area I would like to contribute to is practical PyTorch infrastructure at scale: how teams move from models that work in notebooks or single jobs to systems that are reliable, observable, cost-aware, and usable by many ML teams.
Concretely, I would like to contribute in a few ways:
1. Write practical technical content based on production infrastructure experience. I want to cover real tradeoffs, failure modes, and design patterns rather than only high-level overviews.
2. Organize or support events and workshops for AI infrastructure engineers, especially in the Bay Area and North America. These would focus on practical problems faced by teams scaling PyTorch workloads in production, not just beginner-level introductions.
3. Mentor engineers and practitioners who are adopting or scaling PyTorch-based systems. I am especially interested in helping platform teams and applied ML teams think through reliability, benchmarking, system design, and the handoff between experimentation and production.
4. Participate in PyTorch community discussions and share feedback from production infrastructure use cases. I think there is value in bringing more production ML systems feedback into the broader ecosystem.
5. Contribute examples, documentation, technical feedback, and where possible, open-source improvements related to production PyTorch infrastructure.
My goal is to help more engineers use PyTorch successfully in real production systems and to share practical lessons from the infrastructure side of that work.
</t>
  </si>
  <si>
    <t xml:space="preserve">- [x] Community Building
- [x] Technical Education
- [x] Open Source Contributions
- [ ] Research &amp; Academia
- [x] Developer Advocacy
- [x] Mentorship
- [x] Events &amp; Workshops
- [x] Content Creation
- [ ] Regional Community Growth
- [ ] Other
</t>
  </si>
  <si>
    <t>Strong community-building and outreach experience in Central Africa, with good technical breadth, mentoring, workshops, and GDG leadership. His regional impact and focus on underserved AI communities are valuable; however, evidence of substantial direct PyTorch/open-source contributions is relatively limited.</t>
  </si>
  <si>
    <t>abdullahkazimov</t>
  </si>
  <si>
    <t xml:space="preserve">Abdullah Kazimov
</t>
  </si>
  <si>
    <t xml:space="preserve">Baku, Azerbaijan
</t>
  </si>
  <si>
    <t xml:space="preserve">https://github.com/abdullahkazimov
</t>
  </si>
  <si>
    <t xml:space="preserve">https://linkedin.com/in/abdullahkazimov
</t>
  </si>
  <si>
    <t xml:space="preserve">- [x] Open source contributions
- [ ] Technical content creation
- [x] Community leadership
- [ ] Events or workshops
- [x] Research or academic work
- [x] Mentorship
- [ ] University or student outreach
- [x] Translation or localization efforts
- [ ] Other
</t>
  </si>
  <si>
    <t xml:space="preserve">- Contributed to the Patent of Texas-based startup, Polygraf AI where we used PyTorch: https://patents.google.com/patent/US20250165650A1
- Tech Podcast: https://www.youtube.com/watch?v=aD--7t1Lu7M
- Biggest NLP dataset of Azerbaijani community at its time: https://huggingface.co/datasets/tifosiai/butabytes-v2.0
- Being Trainer and AI Expert at SwapUp - Global Leadership Event: https://www.instagram.com/p/DXZJMz2jAM9/?hl=en
- Research Papers: 3 in review
and more you can find from my LinkedIn profile: https://www.linkedin.com/in/abdullahkazimov/
With numbers:
- I am working with PyTorch for more then 4 years, since I've completed the PyTorch bootcamp by ZeroToMastery Academy that is accredited as educational institution
- Created 3 research papers
</t>
  </si>
  <si>
    <t xml:space="preserve">As a founding AI Engineer of a startup (polygraf.ai) that earned $9.5 million investment in pre-seed round (which, no other startups whose co-founder is Azerbaijani achieved this) I've practiced the best ways to use PyTorch, as well as other community tools; and I've been presenting the solutions to the different audience with different characteristics for the last two years constantly. Whether the listener is student, investor, another community leader, I always find the most suitable, open-source tools and other extensions that meet what the listener needs.
Most importantly, I love contributing to my society both in terms of community support and serve as a responsible citizen and a leader.
</t>
  </si>
  <si>
    <t xml:space="preserve">- Supporting local or global AI communities: take this as an example - I've been invited as expert and listened to AI startups during the Demo Day organized by Azerbaijan Startup Community and U.S. Department of Commerce: https://www.instagram.com/p/DXZJMz2jAM9/?hl=en
- Technical Advocacy &amp; Mentoring Contributors: I've been invited to global leadership programs as an AI trainer mentoring PyTorch youngsters with hardware AI startups and much more: https://www.instagram.com/reel/DXwKFSktXHk/
- Content Creation &amp; Educational Outreach: used to have podcast speaking about technology with professors from top universities in Azerbaijan, now planning to continue: https://www.youtube.com/watch?v=aD--7t1Lu7M
</t>
  </si>
  <si>
    <t xml:space="preserve">- [x] Community Building
- [ ] Technical Education
- [x] Open Source Contributions
- [x] Research &amp; Academia
- [ ] Developer Advocacy
- [ ] Mentorship
- [x] Events &amp; Workshops
- [ ] Content Creation
- [x] Regional Community Growth
- [ ] Other
</t>
  </si>
  <si>
    <t xml:space="preserve">Azerbaijan
</t>
  </si>
  <si>
    <t>Very early-stage profile with limited demonstrated PyTorch/open-source contributions or community impact. The application is largely based on future plans and contains placeholder/template text, so there is insufficient evidence of Ambassador-level engagement at this stage.</t>
  </si>
  <si>
    <t>sdharane</t>
  </si>
  <si>
    <t xml:space="preserve">Sudhir Dharanendraiah
</t>
  </si>
  <si>
    <t xml:space="preserve">Bengaluru, Karnataka, India
</t>
  </si>
  <si>
    <t xml:space="preserve">https://www.linkedin.com/in/sudhir-dharanendraiah-80a0867/
</t>
  </si>
  <si>
    <t xml:space="preserve">- [x] PyTorch
- [x] vLLM
- [ ] DeepSpeed
- [x] Ray
- [x] Helion
- [ ] Safetensors
- [x] Other
</t>
  </si>
  <si>
    <t xml:space="preserve">- [ ] Open source contributions
- [ ] Technical content creation
- [x] Community leadership
- [x] Events or workshops
- [ ] Research or academic work
- [ ] Mentorship
- [x] University or student outreach
- [ ] Translation or localization efforts
- [ ] Other
</t>
  </si>
  <si>
    <t xml:space="preserve"> **Intro:**
**Sudhir Dharanendraiah** is a **Senior Engineer Manager heading the PyTorch Engineering at Red Hat** and a leading evangalist to the open-source AI ecosystem. Sudhir is a strong advocate for an open AI future built on the principle of "**any model, any accelerator, any cloud.**" 
He is a **primary organizer** of the **PyTorch India community** and recently **PyTorch Singapore**. With over 18 years of opensource involvement, he frequently hosts meetups, hackathons, and global open-source events (with a footprint at [DevConf.IN](http://devconf.in/), PyCon India, and the [GNOME.Asia](http://gnome.asia/) Summit)
 **Contributions to PyTorch Foundation Projects and Communities:**
**Sudhir Dharanendraiah** has been a cornerstone of the PyTorch ecosystem in the sub-continent region, driving regional adoption, fostering developer communities, and establishing flagship educational events from the ground up. His contributions span grassroots community building, large-scale event organization, and sustained developer advocacy.
**Key Leadership &amp; Community Initiatives**
- **Pioneering PyTorch Day in India**: **Sudhir Dharanendraiah was instrumental** in bringing the **first PyTorch Day to India**. He worked with **Linux Foundation** (**Deb Giles**) along with **IBM**, **Nvidia** and **Red Hat** to organize and make the event a resounding success. This required extensive coordination with local developer ecosystems, academic institutions, government organization and industry partners to establish a high-profile platform dedicated entirely to PyTorch innovation, framework updates, and localized use cases.
- **Kickstarting the Singapore PyTorch Community**: Recognizing a **gap** in the **Southeast Asian deep learning landscape**, Sudhir kickstarted the PyTorch community in Singapore. Through targeted outreach and established open-source communities, building a hub for researchers and engineers to collaborate on PyTorch-centric workflows.
- **Sustained Monthly Meetups**: Beyond flagship events, Sudhir ensures continuous engagement by hosting regular **monthly** [PyTorch meetups](https://www.meetup.com/pytorch-bengaluru/). These sessions serve as a consistent learning ground for both beginners and advanced practitioners, covering everything from core PyTorch mechanics to cutting-edge generative AI deployment.
 **Measurable Impact**
**Flagship Events Organized:** Successfully brought [PyTorch Day](https://events.linuxfoundation.org/pytorch-day-india/) to India and established the [PyTorch inaugural community meetup for Singapore](https://luma.com/8scaib4z).
**Sustained Engagement**: Organised **7+ consecutive monthly meetups**, maintaining a steady cadence of knowledge sharing.
**Community Growth:** Grown the regional PyTorch network across India and Singapore to over **1000+ active members and developers**.
</t>
  </si>
  <si>
    <t xml:space="preserve">My brush with PyTorch has never been just about leading the PyTorch Engineering at Red Hat. It has been about building the ecosystem. Having already laid foundational infrastructure for PyTorch in both India and Singapore, becoming an official PyTorch Foundation Ambassador is the natural evolution of my commitment to the community.
**My motivation is driven by three core objectives**:
1. **Scaling Regional Impact with Official Backing**
While I have successfully sustained monthly meetups and driven flagship initiatives like PyTorch Day India independently, official Ambassadorship will provide the institutional weight needed to scale these efforts. Access to official PyTorch resources, roadmaps, and branding will allow me to transform local meetups into high-impact, standardized learning hubs, attracting larger audiences and deeper industry sponsorships.
2. **Bridging the Gap Between Core Developers and Regional Talent**: South and Southeast Asia host some of the fastest-growing developer economies in the world, yet a disconnect often exists between grassroots developers and the core PyTorch engineering teams. As an Ambassador, I would want to act as a two-way conduit:
    - **Bringing Core Insights In**: Providing local communities with direct access to PyTorch core updates, best practices, and ecosystem tools.
    - **Channelling Feedback Out**: Aggregating regional developer feedback, unique edge-case challenges, and localization needs to relay back to the PyTorch Foundation.
3. **Institutionalizing the Singapore &amp; India Tech Corridors**
Having kickstarted the community in Singapore and championed it in India, I want to formalize these networks. Ambassadorship will grant me the platform to foster cross-border collaborations, build structured mentorship programs for new contributors, and establish a repeatable blueprint for community growth that the PyTorch Foundation can replicate in other emerging tech hubs.
</t>
  </si>
  <si>
    <t xml:space="preserve">As a PyTorch Foundation Ambassador, I will leverage LF's established community foundations in India and Singapore to act as a core catalyst for regional growth, developer education, and ecosystem contributions. My contribution strategy is built on four actionable pillars:
1. **Scaling Flagship Regional Events &amp; Monthly Touchpoints** Building on the track record of bringing PyTorch Day to India and establishing monthly meetups, I plan to:
    - **Expand PyTorch Day**: Scale PyTorch Day India into a multi-city or highly accessible hybrid format, while working to introduce an inaugural official PyTorch Day Singapore to unite the Southeast Asian AI ecosystem.
    - **Curate Structured Monthly Tracks**: Transition standard meetups into structured, curriculum-driven workshops. These will focus on high-demand, production-grade PyTorch features such as distributed training (torch.distributed), edge deployment (ExecuTorch), and model optimization.
2. **Building a Sustainable Open-Source Contributor Pipeline**
My goal is to transition community members from framework consumers to active ecosystem contributors. As an Ambassador, I will:
    - **Organize dedicated PyTorch Hackathons and Documentation Sprints** aimed at demystifying the upstream contribution process.
    - **Mentor local developers**, guiding them through their first pull requests to PyTorch core, ecosystem libraries, or localized documentation, thereby increasing the global diversity of the contributor base.
3. **Amplifying PyTorch Innovations &amp; Localized Content Creation**
To accelerate the adoption of new PyTorch releases, I will act as a core content vehicle in the region by:
    - **Producing high-quality tutorials, technical deep-dives, and code repositories** that showcase real-world deployment scenarios.
    - **Aggregating and publishing** local success stories and case studies of startups and enterprises in India and Singapore successfully scaling the AI infrastructure using PyTorch.
4. **Fostering Academic and Enterprise Alliances**
To ensure long-term ecosystem vitality, I will bridge the gap between the foundation and local institutions:
    - **Academic Outreach**: Partner with top-tier universities in India and Singapore to integrate PyTorch-centric modules into their machine learning curricula and support student-led AI clubs.
    - **Enterprise Engagement**: Facilitate knowledge-sharing sessions between industry engineering teams and the PyTorch ecosystem to showcase the framework’s production readiness and cost-efficiencies.
</t>
  </si>
  <si>
    <t>**Alignment with the Foundation’s Regional Expansion Goals**
The PyTorch Foundation has explicitly highlighted the need to expand Ambassador representation across regions like Southeast Asia. Having foundational ties in both India and Singapore, I believe I am uniquely positioned to bridge these two critical, fast-growing AI ecosystems. I possess the local network, cultural understanding, and operational experience to immediately establish a self-sustaining infrastructure for PyTorch in these territories without needing to build from scratch.  
**Commitment to Open Source Ethos and Conduct**
My community building has always been anchored in inclusivity, zero-barrier education, and collaboration. I am fully aligned with the PyTorch Foundation Code of Conduct and the Linux Foundation Antitrust Policy, ensuring all hosted meetups and initiatives remain safe, welcoming, and accessible spaces for developers of all backgrounds.
**Ready for the Two-Year Commitment**
I view the Ambassador program not as a short-term title, but as a long-term partnership. I am completely prepared to commit to the two-year term, ensuring a stable, consistent leadership presence that can guide the regional PyTorch community through the next wave of framework innovations.
Ultimately, I am already performing the duties of an Ambassador; official recognition will simply provide the acceleration and framework backing needed to take South and Southeast Asian PyTorch adoption to the global stage.</t>
  </si>
  <si>
    <t>Strong technical and research background with meaningful PyTorch experience, startup exposure, and some community activity. However, demonstrated Ambassador-level community building, mentorship, and sustained PyTorch ecosystem engagement are limited compared with stronger candidates.</t>
  </si>
  <si>
    <t>Strong technical/PyTorch experience and research background, but limited demonstrated community leadership and sustained ecosystem contributions. The application is largely focused on future community plans rather than established impact, making him a weaker fit for the Ambassador role at this stage.</t>
  </si>
  <si>
    <t>Strong community-building, student outreach, and mentoring potential, with a good robotics/AI background that could support Physical AI initiatives. However, direct PyTorch/open-source contributions are limited, and most Ambassador impact is proposed rather than demonstrated</t>
  </si>
  <si>
    <t>Strong community leadership and extensive experience organizing and speaking at technical events across Asia. Recent PyTorch and vLLM community involvement, combined with a strong open-source background, makes this candidate a strong fit for the PyTorch Ambassador program.</t>
  </si>
  <si>
    <t>Strong technical and research background with meaningful PyTorch/LibTorch open-source contributions in AI for Science. Good potential for technical education, mentorship, and expanding PyTorch into scientific computing communities. Community engagement is promising, though direct PyTorch community leadership is relatively limited.</t>
  </si>
  <si>
    <t>Exceptional technical depth and strong direct contributions to PyTorch and its ecosystem. Excellent combination of open-source development, technical content, community building, and mentorship. Strong potential to make significant contributions as a PyTorch Ambassador.</t>
  </si>
  <si>
    <t>Strong HPC and academic background with good experience in PyTorch education, workshops, and community outreach. Good potential to grow PyTorch adoption in UK research and HPC communities, though direct open-source contributions and PyTorch community leadership are still developing.</t>
  </si>
  <si>
    <t>princepride</t>
  </si>
  <si>
    <t xml:space="preserve">Wang Zhipeng
</t>
  </si>
  <si>
    <t xml:space="preserve">Singapore, Singapore
</t>
  </si>
  <si>
    <t xml:space="preserve">https://github.com/princepride
</t>
  </si>
  <si>
    <t xml:space="preserve">https://www.linkedin.com/in/%E5%BF%97%E9%B9%8F-%E6%B1%AA-537882216/
</t>
  </si>
  <si>
    <t xml:space="preserve">https://space.bilibili.com/99816909
</t>
  </si>
  <si>
    <t xml:space="preserve">As a core developer of AI infrastructure and Large Language Model inference frameworks built on the PyTorch ecosystem, I have made continuous and impactful contributions through open-source code, technical evangelism, community building, and mentorship:
**1. Open Source Core Contributions &amp; Leadership**
I am a maintainer for `vllm-omni` and `vime` under the `vllm-project`, as well as `verl-omni` under the `verl-project`. I lead the development of critical features, drive architectural evolution, and actively review Pull Requests from the community, advancing the underlying optimization of Multi-modal Large Language Model (MLLM) inference frameworks.
* Key Contribution Records:
  * vLLM-Omni PRs: [GitHub Link](https://github.com/vllm-project/vllm-omni/pulls?q=is%3Apr+author%3Aprincepride+is%3Aclosed)
  * vLLM PRs: [GitHub Link](https://github.com/vllm-project/vllm/pulls?q=is%3Apr+author%3Aprincepride+is%3Aclosed)
  * Vime PRs: [GitHub Link](https://github.com/vllm-project/vime/pulls?q=is%3Apr+author%3Aprincepride+is%3Aclosed)
**2. Technical Content Creation &amp; Online Community**
I am dedicated to lowering the barrier to entry for low-level AI technologies. I run a technical channel on Bilibili ([Profile Link](https://space.bilibili.com/99816909)), where I host weekly Saturday live streams deep-diving into the latest vLLM source code, PyTorch operator optimizations, and cutting-edge LLM features.
&lt;img width="1740" height="1070" alt="Image" src="https://github.com/user-attachments/assets/a33f7fd5-5eff-4904-90ce-095173df70c5" /&gt;
* **Measurable Impact:** Each live stream consistently attracts thousands of viewers. Additionally, I founded and manage a WeChat vLLM technical study group with hundreds of active members, providing a highly engaging daily platform for technical discussions and Q&amp;A.
&lt;img width="1484" height="1198" alt="Image" src="https://github.com/user-attachments/assets/48b8460f-7b3d-433e-aa2d-87a4520b2cf4" /&gt;
**3. Events, Talks &amp; Mentorship**
I actively promote offline networking and career growth for AI developers in Singapore and the APAC region:
* **Public Speaking:** I was invited as a guest speaker at PyTorch Meetup SG, delivering a technical talk titled "vLLM-Omni: A Unified Platform for Omni-Modal LLM," showcasing optimal practices for multi-modal frameworks to local developers ([Event Link](https://luma.com/8scaib4z)).
&lt;img width="1440" height="1080" alt="Image" src="https://github.com/user-attachments/assets/823b85ad-8bc4-4656-a74a-75d941906219" /&gt;
* **Streaming:** I was invited as a guest speaker at "Moon Uncle"'s channel, which is the top 1 popular Chinese AI Infra youtuber who has more than 100,000 fans all over the internet, introducing our latest MLLM work in vLLM project([Streaming record](https://www.youtube.com/watch?v=cnFFhnDyIU0)).
&lt;img width="908" height="642" alt="Image" src="https://github.com/user-attachments/assets/c95b6924-b690-436b-ac25-2cfe12a63e05" /&gt;
* **Mentorship &amp; Offline Co-working:** Every Saturday, I organize an offline AI co-working and networking event at UTown, Singapore. Through 1-on-1 technical mentoring and career guidance, I have successfully helped dozens of newcomers enter the AI industry and secure internships or full-time roles.
</t>
  </si>
  <si>
    <t xml:space="preserve">My drive to become a PyTorch Foundation Ambassador stems from my strong belief in the open-source ethos and a sense of responsibility to democratize AI infrastructure.
First, as a core developer of vLLM and its ecosystem projects (like vLLM-Omni), I deeply understand the foundational importance of PyTorch to the entire LLM and multi-modal ecosystem. I want to use the Ambassador role to build a tighter bridge between application-layer frameworks (like vLLM) and the foundational ecosystem (PyTorch), facilitating the real-world adoption of cutting-edge optimization techniques.
Second, through running Bilibili live streams with thousands of viewers, managing a large WeChat community, and organizing offline developer events in Singapore, I have noticed that many passionate young developers feel overwhelmed by complex, low-level AI system development. I want to leverage the PyTorch Foundation's platform to scale my technical evangelism and mentorship, helping more people not only read complex codebases but also become active contributors to PyTorch and the broader AI open-source community.
Finally, I aim to build a more vibrant and cohesive offline open-source AI community in the APAC region (especially Singapore), enabling like-minded researchers and engineers to interact frequently and succeed together.
</t>
  </si>
  <si>
    <t xml:space="preserve">As a PyTorch Foundation Ambassador, I will leverage my existing online influence and offline community resources to contribute across the following dimensions:
**1. Regional Community Building &amp; Event Organization**
Centered in Singapore, I will build upon my established weekly weekend tech gatherings at UTown to regularly organize PyTorch and AI infrastructure-focused offline Workshops, Paper Reading sessions, and Hackathons. I also plan to assist the official PyTorch team in hosting high-quality Meetups in Singapore and the surrounding region.
**2. Continuous Technical Evangelism &amp; Content Creation**
I will expand my current Bilibili live stream content matrix. In addition to source code teardowns of inference frameworks, I will systematically introduce tutorials on underlying PyTorch mechanisms, CUDA/Triton operator optimization, model quantization, and distributed training. By creating high-quality videos and technical blogs, I aim to benefit a broader audience of Chinese-speaking and global developers.
**3. Mentorship &amp; Talent Development**
Through my online communities (WeChat) and offline events, I will launch an "Open Source Icebreaker" initiative aimed at newcomers. I will mentor students and junior engineers who are eager to participate in open source, guiding them from submitting their first PyTorch or vLLM-related PR to eventually becoming independent open-source contributors.
**4. Driving Open Source Synergy &amp; Advocacy**
As a core developer, I will continue to promote the latest PyTorch features (such as `torch.compile`) within cutting-edge projects like vLLM-Omni and Vime. Furthermore, I will actively report the pain points and optimization insights we encounter during multi-modal LLM inference back to the PyTorch community, fostering mutual ecosystem growth.
</t>
  </si>
  <si>
    <t>As an AI Infra Engineer based in Singapore specializing in GPU optimization and AI infrastructure, my daily work involves high-performance computing, large model quantization, and parallelization strategies.
This deep, frontline engineering experience allows me to share highly practical and battle-tested technical insights with the community. Alongside my core development work on vLLM-Omni, Vime, and Verl-Omni, I am committed to the principle of "giving back to the community with technology." I look forward to injecting more hardcore expertise in model inference and high-performance optimization into the PyTorch open-source ecosystem as an Ambassador.</t>
  </si>
  <si>
    <t>Strong open-source and community profile with significant contributions to the vLLM ecosystem, strong technical content reach, and proven mentorship and event leadership. Excellent potential to connect PyTorch with the broader AI infrastructure community in APAC.</t>
  </si>
  <si>
    <t>Good student-level technical and campus activity, with some PyTorch projects and workshop experience, but limited demonstrated PyTorch ecosystem contributions and measurable community impact. The Ambassador proposal is largely future-focused.</t>
  </si>
  <si>
    <t>Good AI infrastructure and vLLM background with relevant open-source and community experience. Shows potential to contribute to PyTorch developer advocacy and regional community growth, but evidence of direct PyTorch contributions and measurable community impact is currently limited.</t>
  </si>
  <si>
    <t>Strong community leadership with significant PyTorch ecosystem-building experience in India and Singapore. Proven track record of organizing PyTorch events, sustaining monthly meetups, and growing the regional community. Excellent fit for the Ambassador role, particularly for regional growth and developer engagement.</t>
  </si>
  <si>
    <t>Good leadership and student community experience with relevant AI research and workshop involvement. However, direct PyTorch contributions and measurable PyTorch-specific community impact are limited, so I would consider this candidate borderline at this stage.</t>
  </si>
  <si>
    <t>Strong AI engineering and community engagement background with excellent conference speaking and technical education experience. Good potential to grow the PyTorch community in Turkey, though direct PyTorch open-source contributions are still developing.</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</si>
</sst>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rgb="FF000000"/>
      <name val="Carlito"/>
      <scheme val="minor"/>
    </font>
    <font>
      <b/>
      <sz val="18.0"/>
      <color rgb="FFFFFFFF"/>
      <name val="Carlito"/>
    </font>
    <font>
      <i/>
      <sz val="10.0"/>
      <color rgb="FF5B6269"/>
      <name val="Carlito"/>
    </font>
    <font>
      <b/>
      <sz val="12.0"/>
      <color rgb="FFFFFFFF"/>
      <name val="Carlito"/>
    </font>
    <font>
      <b/>
      <sz val="9.0"/>
      <color rgb="FFFFFFFF"/>
      <name val="Carlito"/>
    </font>
    <font>
      <b/>
      <sz val="11.0"/>
      <color rgb="FFEE4C2C"/>
      <name val="Carlito"/>
    </font>
    <font>
      <sz val="10.0"/>
      <color rgb="FF202124"/>
      <name val="Carlito"/>
    </font>
    <font>
      <sz val="9.0"/>
      <color rgb="FF202124"/>
      <name val="Carlito"/>
    </font>
    <font>
      <b/>
      <sz val="11.0"/>
      <color rgb="FF202124"/>
      <name val="Carlito"/>
    </font>
    <font>
      <b/>
      <sz val="11.0"/>
      <color rgb="FFFFFFFF"/>
      <name val="Carlito"/>
    </font>
    <font>
      <color theme="1"/>
      <name val="Carlito"/>
      <scheme val="minor"/>
    </font>
    <font>
      <b/>
      <u/>
      <sz val="11.0"/>
      <color rgb="FF202124"/>
      <name val="Carlito"/>
    </font>
    <font>
      <u/>
      <sz val="9.0"/>
      <color rgb="FF202124"/>
      <name val="Carlito"/>
    </font>
    <font>
      <b/>
      <sz val="9.0"/>
      <color rgb="FF202124"/>
      <name val="Carlito"/>
    </font>
    <font>
      <u/>
      <sz val="9.0"/>
      <color rgb="FF202124"/>
      <name val="Carlito"/>
    </font>
    <font>
      <u/>
      <sz val="9.0"/>
      <color rgb="FF202124"/>
      <name val="Carlito"/>
    </font>
    <font>
      <sz val="11.0"/>
      <color rgb="FF000000"/>
      <name val="Arial"/>
    </font>
    <font>
      <color rgb="FF221816"/>
      <name val="Roboto"/>
    </font>
    <font>
      <color theme="1"/>
      <name val="Arial"/>
    </font>
    <font>
      <sz val="11.0"/>
      <color rgb="FFF0F0F0"/>
      <name val="-apple-system"/>
    </font>
  </fonts>
  <fills count="10">
    <fill>
      <patternFill patternType="none"/>
    </fill>
    <fill>
      <patternFill patternType="lightGray"/>
    </fill>
    <fill>
      <patternFill patternType="solid">
        <fgColor rgb="FF262B30"/>
        <bgColor rgb="FF262B30"/>
      </patternFill>
    </fill>
    <fill>
      <patternFill patternType="solid">
        <fgColor rgb="FFFFF3EF"/>
        <bgColor rgb="FFFFF3EF"/>
      </patternFill>
    </fill>
    <fill>
      <patternFill patternType="solid">
        <fgColor rgb="FFEE4C2C"/>
        <bgColor rgb="FFEE4C2C"/>
      </patternFill>
    </fill>
    <fill>
      <patternFill patternType="solid">
        <fgColor rgb="FF4B5563"/>
        <bgColor rgb="FF4B5563"/>
      </patternFill>
    </fill>
    <fill>
      <patternFill patternType="solid">
        <fgColor rgb="FFE8F0FE"/>
        <bgColor rgb="FFE8F0FE"/>
      </patternFill>
    </fill>
    <fill>
      <patternFill patternType="solid">
        <fgColor rgb="FF6AA84F"/>
        <bgColor rgb="FF6AA84F"/>
      </patternFill>
    </fill>
    <fill>
      <patternFill patternType="solid">
        <fgColor rgb="FFFFF7F5"/>
        <bgColor rgb="FFFFF7F5"/>
      </patternFill>
    </fill>
    <fill>
      <patternFill patternType="solid">
        <fgColor rgb="FFFFFFFF"/>
        <bgColor rgb="FFFFFFFF"/>
      </patternFill>
    </fill>
  </fills>
  <borders count="6">
    <border/>
    <border>
      <left style="thin">
        <color rgb="FFD9DDE1"/>
      </left>
      <right style="thin">
        <color rgb="FFD9DDE1"/>
      </right>
      <top style="thin">
        <color rgb="FFD9DDE1"/>
      </top>
      <bottom style="thin">
        <color rgb="FFD9DDE1"/>
      </bottom>
    </border>
    <border>
      <bottom style="thin">
        <color rgb="FFE7E9EC"/>
      </bottom>
    </border>
    <border>
      <top style="thin">
        <color rgb="FFE7E9EC"/>
      </top>
      <bottom style="thin">
        <color rgb="FFE7E9EC"/>
      </bottom>
    </border>
    <border>
      <top style="thin">
        <color rgb="FFE7E9EC"/>
      </top>
    </border>
    <border>
      <left style="thin">
        <color rgb="FFF3B8A9"/>
      </left>
      <right style="thin">
        <color rgb="FFF3B8A9"/>
      </right>
      <top style="thin">
        <color rgb="FFF3B8A9"/>
      </top>
      <bottom style="thin">
        <color rgb="FFF3B8A9"/>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vertical="center"/>
    </xf>
    <xf borderId="0" fillId="3" fontId="2" numFmtId="0" xfId="0" applyAlignment="1" applyFill="1" applyFont="1">
      <alignment vertical="center"/>
    </xf>
    <xf borderId="0" fillId="4" fontId="3" numFmtId="0" xfId="0" applyFill="1" applyFont="1"/>
    <xf borderId="1" fillId="2" fontId="4" numFmtId="0" xfId="0" applyAlignment="1" applyBorder="1" applyFont="1">
      <alignment horizontal="center" shrinkToFit="0" vertical="center" wrapText="1"/>
    </xf>
    <xf borderId="0" fillId="3" fontId="5" numFmtId="0" xfId="0" applyAlignment="1" applyFont="1">
      <alignment horizontal="center"/>
    </xf>
    <xf borderId="0" fillId="0" fontId="6" numFmtId="0" xfId="0" applyAlignment="1" applyFont="1">
      <alignment shrinkToFit="0" wrapText="1"/>
    </xf>
    <xf borderId="2" fillId="0" fontId="7" numFmtId="0" xfId="0" applyAlignment="1" applyBorder="1" applyFont="1">
      <alignment shrinkToFit="0" vertical="top" wrapText="1"/>
    </xf>
    <xf borderId="3" fillId="0" fontId="7" numFmtId="0" xfId="0" applyAlignment="1" applyBorder="1" applyFont="1">
      <alignment shrinkToFit="0" vertical="top" wrapText="1"/>
    </xf>
    <xf borderId="0" fillId="0" fontId="6" numFmtId="0" xfId="0" applyAlignment="1" applyFont="1">
      <alignment readingOrder="0" shrinkToFit="0" wrapText="1"/>
    </xf>
    <xf borderId="4" fillId="0" fontId="7" numFmtId="0" xfId="0" applyAlignment="1" applyBorder="1" applyFont="1">
      <alignment shrinkToFit="0" vertical="top" wrapText="1"/>
    </xf>
    <xf borderId="0" fillId="3" fontId="8" numFmtId="0" xfId="0" applyAlignment="1" applyFont="1">
      <alignment readingOrder="0" shrinkToFit="0" vertical="center" wrapText="1"/>
    </xf>
    <xf borderId="0" fillId="2" fontId="9" numFmtId="0" xfId="0" applyFont="1"/>
    <xf borderId="0" fillId="0" fontId="10" numFmtId="0" xfId="0" applyFont="1"/>
    <xf borderId="0" fillId="5" fontId="9" numFmtId="0" xfId="0" applyAlignment="1" applyFill="1" applyFont="1">
      <alignment horizontal="center"/>
    </xf>
    <xf borderId="0" fillId="4" fontId="9" numFmtId="0" xfId="0" applyAlignment="1" applyFont="1">
      <alignment horizontal="center"/>
    </xf>
    <xf borderId="1" fillId="2" fontId="4" numFmtId="0" xfId="0" applyAlignment="1" applyBorder="1" applyFont="1">
      <alignment horizontal="center" shrinkToFit="0" vertical="center" wrapText="1"/>
    </xf>
    <xf borderId="0" fillId="6" fontId="11" numFmtId="0" xfId="0" applyAlignment="1" applyFill="1" applyFont="1">
      <alignment readingOrder="0" shrinkToFit="0" vertical="center" wrapText="1"/>
    </xf>
    <xf borderId="1" fillId="2" fontId="4" numFmtId="0" xfId="0" applyAlignment="1" applyBorder="1" applyFont="1">
      <alignment horizontal="center" readingOrder="0" shrinkToFit="0" vertical="center" wrapText="1"/>
    </xf>
    <xf borderId="1" fillId="7" fontId="4" numFmtId="0" xfId="0" applyAlignment="1" applyBorder="1" applyFill="1" applyFont="1">
      <alignment horizontal="center" shrinkToFit="0" vertical="center" wrapText="1"/>
    </xf>
    <xf borderId="2" fillId="0" fontId="7" numFmtId="0" xfId="0" applyAlignment="1" applyBorder="1" applyFont="1">
      <alignment shrinkToFit="0" vertical="top" wrapText="1"/>
    </xf>
    <xf borderId="2" fillId="0" fontId="12" numFmtId="0" xfId="0" applyAlignment="1" applyBorder="1" applyFont="1">
      <alignment shrinkToFit="0" vertical="top" wrapText="1"/>
    </xf>
    <xf borderId="5" fillId="3" fontId="5" numFmtId="0" xfId="0" applyAlignment="1" applyBorder="1" applyFont="1">
      <alignment horizontal="center" readingOrder="0" shrinkToFit="0" vertical="center" wrapText="1"/>
    </xf>
    <xf borderId="2" fillId="6" fontId="8" numFmtId="0" xfId="0" applyAlignment="1" applyBorder="1" applyFont="1">
      <alignment horizontal="center" shrinkToFit="0" vertical="center" wrapText="1"/>
    </xf>
    <xf borderId="5" fillId="3" fontId="7" numFmtId="0" xfId="0" applyAlignment="1" applyBorder="1" applyFont="1">
      <alignment readingOrder="0" shrinkToFit="0" vertical="top" wrapText="1"/>
    </xf>
    <xf borderId="2" fillId="0" fontId="13" numFmtId="0" xfId="0" applyAlignment="1" applyBorder="1" applyFont="1">
      <alignment horizontal="center" shrinkToFit="0" vertical="center" wrapText="1"/>
    </xf>
    <xf borderId="3" fillId="0" fontId="7" numFmtId="0" xfId="0" applyAlignment="1" applyBorder="1" applyFont="1">
      <alignment shrinkToFit="0" vertical="top" wrapText="1"/>
    </xf>
    <xf borderId="3" fillId="0" fontId="14" numFmtId="0" xfId="0" applyAlignment="1" applyBorder="1" applyFont="1">
      <alignment shrinkToFit="0" vertical="top" wrapText="1"/>
    </xf>
    <xf borderId="3" fillId="6" fontId="8"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5" fillId="3" fontId="7" numFmtId="0" xfId="0" applyAlignment="1" applyBorder="1" applyFont="1">
      <alignment shrinkToFit="0" vertical="top" wrapText="1"/>
    </xf>
    <xf borderId="4" fillId="0" fontId="7" numFmtId="0" xfId="0" applyAlignment="1" applyBorder="1" applyFont="1">
      <alignment shrinkToFit="0" vertical="top" wrapText="1"/>
    </xf>
    <xf borderId="4" fillId="0" fontId="15" numFmtId="0" xfId="0" applyAlignment="1" applyBorder="1" applyFont="1">
      <alignment shrinkToFit="0" vertical="top" wrapText="1"/>
    </xf>
    <xf borderId="4" fillId="6" fontId="8"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0" fillId="0" fontId="16" numFmtId="0" xfId="0" applyAlignment="1" applyFont="1">
      <alignment readingOrder="0"/>
    </xf>
    <xf borderId="0" fillId="8" fontId="17" numFmtId="0" xfId="0" applyAlignment="1" applyFill="1" applyFont="1">
      <alignment horizontal="right"/>
    </xf>
    <xf borderId="0" fillId="0" fontId="18" numFmtId="0" xfId="0" applyAlignment="1" applyFont="1">
      <alignment vertical="bottom"/>
    </xf>
    <xf borderId="0" fillId="0" fontId="18" numFmtId="0" xfId="0" applyAlignment="1" applyFont="1">
      <alignment shrinkToFit="0" vertical="bottom" wrapText="1"/>
    </xf>
    <xf borderId="0" fillId="9" fontId="17" numFmtId="0" xfId="0" applyAlignment="1" applyFill="1" applyFont="1">
      <alignment horizontal="right"/>
    </xf>
    <xf borderId="0" fillId="0" fontId="19" numFmtId="0" xfId="0" applyFont="1"/>
    <xf borderId="0" fillId="7" fontId="4" numFmtId="0" xfId="0" applyAlignment="1" applyFont="1">
      <alignment horizontal="center" shrinkToFit="0" vertical="center" wrapText="1"/>
    </xf>
    <xf borderId="0" fillId="0" fontId="13" numFmtId="0" xfId="0" applyAlignment="1" applyFont="1">
      <alignment horizontal="center" shrinkToFit="0" vertical="center"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b/>
        <color rgb="FF137333"/>
      </font>
      <fill>
        <patternFill patternType="solid">
          <fgColor rgb="FFE6F4EA"/>
          <bgColor rgb="FFE6F4EA"/>
        </patternFill>
      </fill>
      <border/>
    </dxf>
    <dxf>
      <font>
        <b/>
        <color rgb="FFB06000"/>
      </font>
      <fill>
        <patternFill patternType="solid">
          <fgColor rgb="FFFEF7E0"/>
          <bgColor rgb="FFFEF7E0"/>
        </patternFill>
      </fill>
      <border/>
    </dxf>
    <dxf>
      <font>
        <b/>
        <color rgb="FFC5221F"/>
      </font>
      <fill>
        <patternFill patternType="solid">
          <fgColor rgb="FFFCE8E6"/>
          <bgColor rgb="FFFCE8E6"/>
        </patternFill>
      </fill>
      <border/>
    </dxf>
  </dxfs>
  <tableStyles count="11">
    <tableStyle count="3" pivot="0" name="Reviewer 01-style">
      <tableStyleElement dxfId="1" type="headerRow"/>
      <tableStyleElement dxfId="2" type="firstRowStripe"/>
      <tableStyleElement dxfId="3" type="secondRowStripe"/>
    </tableStyle>
    <tableStyle count="3" pivot="0" name="Reviewer 02-style">
      <tableStyleElement dxfId="1" type="headerRow"/>
      <tableStyleElement dxfId="2" type="firstRowStripe"/>
      <tableStyleElement dxfId="3" type="secondRowStripe"/>
    </tableStyle>
    <tableStyle count="3" pivot="0" name="Reviewer 03-style">
      <tableStyleElement dxfId="1" type="headerRow"/>
      <tableStyleElement dxfId="2" type="firstRowStripe"/>
      <tableStyleElement dxfId="3" type="secondRowStripe"/>
    </tableStyle>
    <tableStyle count="3" pivot="0" name="Reviewer 04-style">
      <tableStyleElement dxfId="1" type="headerRow"/>
      <tableStyleElement dxfId="2" type="firstRowStripe"/>
      <tableStyleElement dxfId="3" type="secondRowStripe"/>
    </tableStyle>
    <tableStyle count="3" pivot="0" name="Reviewer 05-style">
      <tableStyleElement dxfId="1" type="headerRow"/>
      <tableStyleElement dxfId="2" type="firstRowStripe"/>
      <tableStyleElement dxfId="3" type="secondRowStripe"/>
    </tableStyle>
    <tableStyle count="3" pivot="0" name="Reviewer 06-style">
      <tableStyleElement dxfId="1" type="headerRow"/>
      <tableStyleElement dxfId="2" type="firstRowStripe"/>
      <tableStyleElement dxfId="3" type="secondRowStripe"/>
    </tableStyle>
    <tableStyle count="3" pivot="0" name="Reviewer 07-style">
      <tableStyleElement dxfId="1" type="headerRow"/>
      <tableStyleElement dxfId="2" type="firstRowStripe"/>
      <tableStyleElement dxfId="3" type="secondRowStripe"/>
    </tableStyle>
    <tableStyle count="3" pivot="0" name="Reviewer 08-style">
      <tableStyleElement dxfId="1" type="headerRow"/>
      <tableStyleElement dxfId="2" type="firstRowStripe"/>
      <tableStyleElement dxfId="3" type="secondRowStripe"/>
    </tableStyle>
    <tableStyle count="3" pivot="0" name="Reviewer 09-style">
      <tableStyleElement dxfId="1" type="headerRow"/>
      <tableStyleElement dxfId="2" type="firstRowStripe"/>
      <tableStyleElement dxfId="3" type="secondRowStripe"/>
    </tableStyle>
    <tableStyle count="3" pivot="0" name="Reviewer 11-style">
      <tableStyleElement dxfId="1" type="headerRow"/>
      <tableStyleElement dxfId="2" type="firstRowStripe"/>
      <tableStyleElement dxfId="3" type="secondRowStripe"/>
    </tableStyle>
    <tableStyle count="3" pivot="0" name="Reviewer 10-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AH29" displayName="Table_2" name="Table_2" id="2">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_x000a_documentation,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 id="30"/>
    <tableColumn name="Total Score" id="31"/>
    <tableColumn name="Reviewer Recommendation" id="32"/>
    <tableColumn name="Reviewer Comments" id="33"/>
    <tableColumn name="Review Status" id="34"/>
  </tableColumns>
  <tableStyleInfo name="Reviewer 01-style" showColumnStripes="0" showFirstColumn="1" showLastColumn="1" showRowStripes="1"/>
</table>
</file>

<file path=xl/tables/table2.xml><?xml version="1.0" encoding="utf-8"?>
<table xmlns="http://schemas.openxmlformats.org/spreadsheetml/2006/main" ref="A4:AH29" displayName="Table_1" name="Table_1" id="1">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documentation, 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 id="30"/>
    <tableColumn name="Total Score" id="31"/>
    <tableColumn name="Reviewer Recommendation" id="32"/>
    <tableColumn name="Reviewer Comments" id="33"/>
    <tableColumn name="Review Status" id="34"/>
  </tableColumns>
  <tableStyleInfo name="Reviewer 02-style" showColumnStripes="0" showFirstColumn="1" showLastColumn="1" showRowStripes="1"/>
</table>
</file>

<file path=xl/tables/table3.xml><?xml version="1.0" encoding="utf-8"?>
<table xmlns="http://schemas.openxmlformats.org/spreadsheetml/2006/main" ref="A4:AH29" displayName="Table_3" name="Table_3" id="3">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documentation, 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 id="30"/>
    <tableColumn name="Total Score" id="31"/>
    <tableColumn name="Reviewer Recommendation" id="32"/>
    <tableColumn name="Reviewer Comments" id="33"/>
    <tableColumn name="Review Status" id="34"/>
  </tableColumns>
  <tableStyleInfo name="Reviewer 03-style" showColumnStripes="0" showFirstColumn="1" showLastColumn="1" showRowStripes="1"/>
</table>
</file>

<file path=xl/tables/table4.xml><?xml version="1.0" encoding="utf-8"?>
<table xmlns="http://schemas.openxmlformats.org/spreadsheetml/2006/main" ref="A4:AH29" displayName="Table_4" name="Table_4" id="4">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documentation, 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 id="30"/>
    <tableColumn name="Total Score" id="31"/>
    <tableColumn name="Reviewer Recommendation" id="32"/>
    <tableColumn name="Reviewer Comments" id="33"/>
    <tableColumn name="Review Status" id="34"/>
  </tableColumns>
  <tableStyleInfo name="Reviewer 04-style" showColumnStripes="0" showFirstColumn="1" showLastColumn="1" showRowStripes="1"/>
</table>
</file>

<file path=xl/tables/table5.xml><?xml version="1.0" encoding="utf-8"?>
<table xmlns="http://schemas.openxmlformats.org/spreadsheetml/2006/main" ref="A4:AH29" displayName="Table_5" name="Table_5" id="5">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documentation, 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 id="30"/>
    <tableColumn name="Total Score" id="31"/>
    <tableColumn name="Reviewer Recommendation" id="32"/>
    <tableColumn name="Reviewer Comments" id="33"/>
    <tableColumn name="Review Status" id="34"/>
  </tableColumns>
  <tableStyleInfo name="Reviewer 05-style" showColumnStripes="0" showFirstColumn="1" showLastColumn="1" showRowStripes="1"/>
</table>
</file>

<file path=xl/tables/table6.xml><?xml version="1.0" encoding="utf-8"?>
<table xmlns="http://schemas.openxmlformats.org/spreadsheetml/2006/main" ref="A4:AH29" displayName="Table_6" name="Table_6" id="6">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documentation, 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_x000a__x000a__x000a__x000a_" id="30"/>
    <tableColumn name="Total Score" id="31"/>
    <tableColumn name="Reviewer Recommendation" id="32"/>
    <tableColumn name="Reviewer Comments" id="33"/>
    <tableColumn name="Review Status" id="34"/>
  </tableColumns>
  <tableStyleInfo name="Reviewer 06-style" showColumnStripes="0" showFirstColumn="1" showLastColumn="1" showRowStripes="1"/>
</table>
</file>

<file path=xl/tables/table7.xml><?xml version="1.0" encoding="utf-8"?>
<table xmlns="http://schemas.openxmlformats.org/spreadsheetml/2006/main" ref="A4:AH29" displayName="Table_7" name="Table_7" id="7">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documentation, 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 id="30"/>
    <tableColumn name="Total Score" id="31"/>
    <tableColumn name="Reviewer Recommendation" id="32"/>
    <tableColumn name="Reviewer Comments" id="33"/>
    <tableColumn name="Review Status" id="34"/>
  </tableColumns>
  <tableStyleInfo name="Reviewer 07-style" showColumnStripes="0" showFirstColumn="1" showLastColumn="1" showRowStripes="1"/>
</table>
</file>

<file path=xl/tables/table8.xml><?xml version="1.0" encoding="utf-8"?>
<table xmlns="http://schemas.openxmlformats.org/spreadsheetml/2006/main" ref="A4:AH29" displayName="Table_8" name="Table_8" id="8">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documentation, 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 id="30"/>
    <tableColumn name="Total Score" id="31"/>
    <tableColumn name="Reviewer Recommendation" id="32"/>
    <tableColumn name="Reviewer Comments" id="33"/>
    <tableColumn name="Review Status" id="34"/>
  </tableColumns>
  <tableStyleInfo name="Reviewer 08-style" showColumnStripes="0" showFirstColumn="1" showLastColumn="1" showRowStripes="1"/>
</table>
</file>

<file path=xl/tables/table9.xml><?xml version="1.0" encoding="utf-8"?>
<table xmlns="http://schemas.openxmlformats.org/spreadsheetml/2006/main" ref="A4:AH29" displayName="Table_9" name="Table_9" id="9">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documentation, 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 id="30"/>
    <tableColumn name="Total Score" id="31"/>
    <tableColumn name="Reviewer Recommendation" id="32"/>
    <tableColumn name="Reviewer Comments" id="33"/>
    <tableColumn name="Review Status" id="34"/>
  </tableColumns>
  <tableStyleInfo name="Reviewer 09-style" showColumnStripes="0" showFirstColumn="1" showLastColumn="1" showRowStripes="1"/>
</table>
</file>

<file path=xl/tables/table10.xml><?xml version="1.0" encoding="utf-8"?>
<table xmlns="http://schemas.openxmlformats.org/spreadsheetml/2006/main" ref="A4:AH29" displayName="Table_10" name="Table_10" id="10">
  <tableColumns count="34">
    <tableColumn name="Submission ID" id="1"/>
    <tableColumn name="Issue URL" id="2"/>
    <tableColumn name="GitHub Username" id="3"/>
    <tableColumn name="Nominee Full Name" id="4"/>
    <tableColumn name="Current Location" id="5"/>
    <tableColumn name="Years of Community Involvement" id="6"/>
    <tableColumn name="GitHub Profile" id="7"/>
    <tableColumn name="Personal Website / Portfolio" id="8"/>
    <tableColumn name="GitLab Profile" id="9"/>
    <tableColumn name="LinkedIn Profile" id="10"/>
    <tableColumn name="X / Twitter Profile" id="11"/>
    <tableColumn name="If 'Other' was selected, please specify" id="12"/>
    <tableColumn name="Which PyTorch Foundation projects is the _x000a_nominee familiar with?" id="13"/>
    <tableColumn name="If 'Other' was selected, _x000a_please specify the project name" id="14"/>
    <tableColumn name="How has the nominee contributed to the community?" id="15"/>
    <tableColumn name="Please describe the nominee’s contributions to PyTorch Foundation projects and communities" id="16"/>
    <tableColumn name="Why does the nominee want to become a PyTorch Foundation Ambassador?" id="17"/>
    <tableColumn name="How would this nominee contribute as a PyTorch Foundation Ambassador?" id="18"/>
    <tableColumn name="Ambassador Focus Areas" id="19"/>
    <tableColumn name="Primary Community Region" id="20"/>
    <tableColumn name="Primary Country During Ambassador Term" id="21"/>
    <tableColumn name="Additional Information (Optional)" id="22"/>
    <tableColumn name="Question 1 Score (1–5)_x000a_Has the nominee demonstrated meaningful engagement with PyTorch Foundation projects or communities?" id="23"/>
    <tableColumn name="Question 2 Score (1–5)_x000a_Has the nominee demonstrated measurable impact through technical contributions, community engagement, documentation, education, mentorship, or advocacy within PyTorch Foundation projects or communities?" id="24"/>
    <tableColumn name="Question 3 Score (1–5)_x000a_Has the nominee actively supported, mentored, educated, or organized activities for the community?" id="25"/>
    <tableColumn name="Question 4 Score (1–5)_x000a_Has the nominee helped others learn, participate, contribute, or build community?" id="26"/>
    <tableColumn name="Question 5 Score (1–5)_x000a_Does the nominee present a clear, realistic, and achievable plan for Ambassador activities?" id="27"/>
    <tableColumn name="Question 6 Score (1–5)_x000a_Are the proposed activities likely to create meaningful value for PyTorch Foundation projects and communities?" id="28"/>
    <tableColumn name="Question 7 Score (1–5)_x000a_Has the nominee demonstrated the ability to communicate technical concepts effectively?" id="29"/>
    <tableColumn name="Question 8 Score (1–5)_x000a_Does the nominee demonstrate the knowledge, engagement, and communication skills necessary to effectively represent PyTorch Foundation projects and communities as an Ambassador?" id="30"/>
    <tableColumn name="Total Score" id="31"/>
    <tableColumn name="Reviewer Recommendation" id="32"/>
    <tableColumn name="Reviewer Comments" id="33"/>
    <tableColumn name="Review Status" id="34"/>
  </tableColumns>
  <tableStyleInfo name="Reviewer 10-style" showColumnStripes="0" showFirstColumn="1" showLastColumn="1" showRowStripes="1"/>
</table>
</file>

<file path=xl/tables/table11.xml><?xml version="1.0" encoding="utf-8"?>
<table xmlns="http://schemas.openxmlformats.org/spreadsheetml/2006/main" headerRowCount="0" ref="A4:AI28" displayName="Table_11" name="Table_11" id="1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Reviewer 1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UmgT8cKnWLIdtkGGGbfA8nz7RHDyU_Au/edit?usp=sharing&amp;ouid=101895520384077792857&amp;rtpof=true&amp;sd=tru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76.0"/>
    <col customWidth="1" min="3" max="26" width="8.63"/>
  </cols>
  <sheetData>
    <row r="1" ht="33.75" customHeight="1">
      <c r="A1" s="1" t="s">
        <v>1</v>
      </c>
    </row>
    <row r="2" ht="27.75" customHeight="1">
      <c r="A2" s="2" t="s">
        <v>2</v>
      </c>
    </row>
    <row r="4">
      <c r="A4" s="3" t="s">
        <v>4</v>
      </c>
    </row>
    <row r="5">
      <c r="A5" s="5" t="s">
        <v>6</v>
      </c>
      <c r="B5" s="6" t="s">
        <v>9</v>
      </c>
    </row>
    <row r="6">
      <c r="A6" s="5" t="s">
        <v>12</v>
      </c>
      <c r="B6" s="6" t="s">
        <v>14</v>
      </c>
    </row>
    <row r="7">
      <c r="A7" s="5" t="s">
        <v>16</v>
      </c>
      <c r="B7" s="6" t="s">
        <v>17</v>
      </c>
    </row>
    <row r="8">
      <c r="A8" s="5" t="s">
        <v>19</v>
      </c>
      <c r="B8" s="6" t="s">
        <v>22</v>
      </c>
    </row>
    <row r="9">
      <c r="A9" s="5" t="s">
        <v>25</v>
      </c>
      <c r="B9" s="6" t="s">
        <v>27</v>
      </c>
    </row>
    <row r="10">
      <c r="A10" s="5" t="s">
        <v>31</v>
      </c>
      <c r="B10" s="9" t="s">
        <v>33</v>
      </c>
    </row>
    <row r="11">
      <c r="A11" s="5" t="s">
        <v>39</v>
      </c>
      <c r="B11" s="9" t="s">
        <v>40</v>
      </c>
    </row>
    <row r="13">
      <c r="A13" s="12" t="s">
        <v>43</v>
      </c>
    </row>
    <row r="14">
      <c r="A14" s="5">
        <v>1.0</v>
      </c>
      <c r="B14" s="13" t="s">
        <v>44</v>
      </c>
    </row>
    <row r="15">
      <c r="A15" s="5">
        <v>2.0</v>
      </c>
      <c r="B15" s="13" t="s">
        <v>45</v>
      </c>
    </row>
    <row r="16">
      <c r="A16" s="5">
        <v>3.0</v>
      </c>
      <c r="B16" s="13" t="s">
        <v>46</v>
      </c>
    </row>
    <row r="17">
      <c r="A17" s="5">
        <v>4.0</v>
      </c>
      <c r="B17" s="13" t="s">
        <v>49</v>
      </c>
    </row>
    <row r="18">
      <c r="A18" s="5">
        <v>5.0</v>
      </c>
      <c r="B18" s="13" t="s">
        <v>50</v>
      </c>
    </row>
    <row r="20" ht="33.75" customHeight="1">
      <c r="A20" s="17"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2:F2"/>
    <mergeCell ref="A4:F4"/>
    <mergeCell ref="A13:F13"/>
    <mergeCell ref="A20:F20"/>
  </mergeCells>
  <hyperlinks>
    <hyperlink r:id="rId1" ref="A20"/>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8.0"/>
    <col customWidth="1" min="3" max="3" width="72.0"/>
    <col customWidth="1" min="4" max="25" width="8.63"/>
  </cols>
  <sheetData>
    <row r="1" ht="33.75" customHeight="1">
      <c r="A1" s="1" t="s">
        <v>0</v>
      </c>
    </row>
    <row r="2" ht="27.75" customHeight="1">
      <c r="A2" s="2" t="s">
        <v>3</v>
      </c>
    </row>
    <row r="4" ht="57.75" customHeight="1">
      <c r="A4" s="4" t="s">
        <v>5</v>
      </c>
      <c r="B4" s="4" t="s">
        <v>7</v>
      </c>
      <c r="C4" s="4" t="s">
        <v>8</v>
      </c>
    </row>
    <row r="5" ht="73.5" customHeight="1">
      <c r="A5" s="7" t="s">
        <v>10</v>
      </c>
      <c r="B5" s="7" t="s">
        <v>11</v>
      </c>
      <c r="C5" s="7" t="s">
        <v>13</v>
      </c>
    </row>
    <row r="6" ht="73.5" customHeight="1">
      <c r="A6" s="8" t="s">
        <v>15</v>
      </c>
      <c r="B6" s="8" t="s">
        <v>11</v>
      </c>
      <c r="C6" s="8" t="s">
        <v>18</v>
      </c>
    </row>
    <row r="7" ht="73.5" customHeight="1">
      <c r="A7" s="8" t="s">
        <v>20</v>
      </c>
      <c r="B7" s="8" t="s">
        <v>21</v>
      </c>
      <c r="C7" s="8" t="s">
        <v>23</v>
      </c>
    </row>
    <row r="8" ht="73.5" customHeight="1">
      <c r="A8" s="8" t="s">
        <v>24</v>
      </c>
      <c r="B8" s="8" t="s">
        <v>21</v>
      </c>
      <c r="C8" s="8" t="s">
        <v>26</v>
      </c>
    </row>
    <row r="9" ht="73.5" customHeight="1">
      <c r="A9" s="8" t="s">
        <v>28</v>
      </c>
      <c r="B9" s="8" t="s">
        <v>29</v>
      </c>
      <c r="C9" s="8" t="s">
        <v>30</v>
      </c>
    </row>
    <row r="10" ht="73.5" customHeight="1">
      <c r="A10" s="8" t="s">
        <v>32</v>
      </c>
      <c r="B10" s="8" t="s">
        <v>29</v>
      </c>
      <c r="C10" s="8" t="s">
        <v>34</v>
      </c>
    </row>
    <row r="11" ht="73.5" customHeight="1">
      <c r="A11" s="8" t="s">
        <v>35</v>
      </c>
      <c r="B11" s="8" t="s">
        <v>36</v>
      </c>
      <c r="C11" s="8" t="s">
        <v>37</v>
      </c>
    </row>
    <row r="12" ht="73.5" customHeight="1">
      <c r="A12" s="10" t="s">
        <v>38</v>
      </c>
      <c r="B12" s="10" t="s">
        <v>36</v>
      </c>
      <c r="C12" s="10" t="s">
        <v>41</v>
      </c>
    </row>
    <row r="14">
      <c r="A14" s="11"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14:C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48</v>
      </c>
    </row>
    <row r="2" ht="27.75" customHeight="1">
      <c r="A2" s="2" t="s">
        <v>51</v>
      </c>
    </row>
    <row r="3">
      <c r="A3" s="14" t="s">
        <v>53</v>
      </c>
      <c r="W3" s="15" t="s">
        <v>54</v>
      </c>
    </row>
    <row r="4" ht="106.5"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8" t="s">
        <v>84</v>
      </c>
      <c r="Y4" s="16" t="s">
        <v>79</v>
      </c>
      <c r="Z4" s="16" t="s">
        <v>80</v>
      </c>
      <c r="AA4" s="16" t="s">
        <v>81</v>
      </c>
      <c r="AB4" s="16" t="s">
        <v>82</v>
      </c>
      <c r="AC4" s="16" t="s">
        <v>83</v>
      </c>
      <c r="AD4" s="16" t="s">
        <v>85</v>
      </c>
      <c r="AE4" s="19" t="s">
        <v>86</v>
      </c>
      <c r="AF4" s="16" t="s">
        <v>87</v>
      </c>
      <c r="AG4" s="16" t="s">
        <v>88</v>
      </c>
      <c r="AH4" s="19" t="s">
        <v>89</v>
      </c>
    </row>
    <row r="5" ht="408.75" customHeight="1">
      <c r="A5" s="20">
        <v>477.0</v>
      </c>
      <c r="B5" s="21" t="str">
        <f>HYPERLINK("https://github.com/pytorch-fdn/ambassador-program/issues/477","https://github.com/pytorch-fdn/ambassador-program/issues/477")</f>
        <v>https://github.com/pytorch-fdn/ambassador-program/issues/477</v>
      </c>
      <c r="C5" s="20" t="s">
        <v>90</v>
      </c>
      <c r="D5" s="20" t="s">
        <v>92</v>
      </c>
      <c r="E5" s="20" t="s">
        <v>93</v>
      </c>
      <c r="F5" s="20" t="s">
        <v>95</v>
      </c>
      <c r="G5" s="20" t="s">
        <v>97</v>
      </c>
      <c r="H5" s="20" t="s">
        <v>98</v>
      </c>
      <c r="I5" s="20" t="s">
        <v>100</v>
      </c>
      <c r="J5" s="20" t="s">
        <v>101</v>
      </c>
      <c r="K5" s="20" t="s">
        <v>100</v>
      </c>
      <c r="L5" s="20" t="s">
        <v>104</v>
      </c>
      <c r="M5" s="20" t="s">
        <v>106</v>
      </c>
      <c r="N5" s="20" t="s">
        <v>100</v>
      </c>
      <c r="O5" s="20" t="s">
        <v>107</v>
      </c>
      <c r="P5" s="20" t="s">
        <v>112</v>
      </c>
      <c r="Q5" s="20" t="s">
        <v>116</v>
      </c>
      <c r="R5" s="20" t="s">
        <v>119</v>
      </c>
      <c r="S5" s="20" t="s">
        <v>120</v>
      </c>
      <c r="T5" s="20" t="s">
        <v>121</v>
      </c>
      <c r="U5" s="20" t="s">
        <v>122</v>
      </c>
      <c r="V5" s="20" t="s">
        <v>123</v>
      </c>
      <c r="W5" s="22"/>
      <c r="X5" s="22"/>
      <c r="Y5" s="22"/>
      <c r="Z5" s="22"/>
      <c r="AA5" s="22"/>
      <c r="AB5" s="22"/>
      <c r="AC5" s="22"/>
      <c r="AD5" s="22"/>
      <c r="AE5" s="23" t="str">
        <f>IF(COUNT(W5:AD5)=8,SUM(W5:AD5),"")</f>
        <v/>
      </c>
      <c r="AF5" s="24"/>
      <c r="AG5" s="24"/>
      <c r="AH5" s="25" t="str">
        <f t="shared" ref="AH5:AH29" si="1">IF(AND(COUNT(W5:AD5)=0,AF5="",AG5=""),"Not Started",IF(AF5="Abstain (Conflict of Interest)",IF(AG5&lt;&gt;"","Reassignment Required","Add Conflict Note"),IF(AND(COUNT(W5:AD5)=8,AF5&lt;&gt;"",AG5&lt;&gt;""),"Complete","In Progress")))</f>
        <v>Not Started</v>
      </c>
    </row>
    <row r="6" ht="408.75" customHeight="1">
      <c r="A6" s="26">
        <v>475.0</v>
      </c>
      <c r="B6" s="27" t="str">
        <f>HYPERLINK("https://github.com/pytorch-fdn/ambassador-program/issues/475","https://github.com/pytorch-fdn/ambassador-program/issues/475")</f>
        <v>https://github.com/pytorch-fdn/ambassador-program/issues/475</v>
      </c>
      <c r="C6" s="26" t="s">
        <v>135</v>
      </c>
      <c r="D6" s="26" t="s">
        <v>137</v>
      </c>
      <c r="E6" s="26" t="s">
        <v>138</v>
      </c>
      <c r="F6" s="26" t="s">
        <v>139</v>
      </c>
      <c r="G6" s="26" t="s">
        <v>141</v>
      </c>
      <c r="H6" s="26" t="s">
        <v>103</v>
      </c>
      <c r="I6" s="26" t="s">
        <v>100</v>
      </c>
      <c r="J6" s="26" t="s">
        <v>143</v>
      </c>
      <c r="K6" s="26" t="s">
        <v>100</v>
      </c>
      <c r="L6" s="26" t="s">
        <v>100</v>
      </c>
      <c r="M6" s="26" t="s">
        <v>108</v>
      </c>
      <c r="N6" s="26" t="s">
        <v>100</v>
      </c>
      <c r="O6" s="26" t="s">
        <v>147</v>
      </c>
      <c r="P6" s="26" t="s">
        <v>148</v>
      </c>
      <c r="Q6" s="26" t="s">
        <v>150</v>
      </c>
      <c r="R6" s="26" t="s">
        <v>154</v>
      </c>
      <c r="S6" s="26" t="s">
        <v>156</v>
      </c>
      <c r="T6" s="26" t="s">
        <v>158</v>
      </c>
      <c r="U6" s="26" t="s">
        <v>160</v>
      </c>
      <c r="V6" s="26" t="s">
        <v>163</v>
      </c>
      <c r="W6" s="22"/>
      <c r="X6" s="22"/>
      <c r="Y6" s="22"/>
      <c r="Z6" s="22"/>
      <c r="AA6" s="22"/>
      <c r="AB6" s="22"/>
      <c r="AC6" s="22"/>
      <c r="AD6" s="22"/>
      <c r="AE6" s="28"/>
      <c r="AF6" s="24"/>
      <c r="AG6" s="24"/>
      <c r="AH6" s="29" t="str">
        <f t="shared" si="1"/>
        <v>Not Started</v>
      </c>
    </row>
    <row r="7" ht="408.75" customHeight="1">
      <c r="A7" s="26">
        <v>472.0</v>
      </c>
      <c r="B7" s="27" t="str">
        <f>HYPERLINK("https://github.com/pytorch-fdn/ambassador-program/issues/472","https://github.com/pytorch-fdn/ambassador-program/issues/472")</f>
        <v>https://github.com/pytorch-fdn/ambassador-program/issues/472</v>
      </c>
      <c r="C7" s="26" t="s">
        <v>180</v>
      </c>
      <c r="D7" s="26" t="s">
        <v>181</v>
      </c>
      <c r="E7" s="26" t="s">
        <v>183</v>
      </c>
      <c r="F7" s="26" t="s">
        <v>175</v>
      </c>
      <c r="G7" s="26" t="s">
        <v>185</v>
      </c>
      <c r="H7" s="26" t="s">
        <v>103</v>
      </c>
      <c r="I7" s="26" t="s">
        <v>100</v>
      </c>
      <c r="J7" s="26" t="s">
        <v>187</v>
      </c>
      <c r="K7" s="26" t="s">
        <v>100</v>
      </c>
      <c r="L7" s="26" t="s">
        <v>100</v>
      </c>
      <c r="M7" s="26" t="s">
        <v>108</v>
      </c>
      <c r="N7" s="26" t="s">
        <v>100</v>
      </c>
      <c r="O7" s="26" t="s">
        <v>188</v>
      </c>
      <c r="P7" s="26" t="s">
        <v>189</v>
      </c>
      <c r="Q7" s="26" t="s">
        <v>193</v>
      </c>
      <c r="R7" s="26" t="s">
        <v>194</v>
      </c>
      <c r="S7" s="26" t="s">
        <v>196</v>
      </c>
      <c r="T7" s="26" t="s">
        <v>198</v>
      </c>
      <c r="U7" s="26" t="s">
        <v>200</v>
      </c>
      <c r="V7" s="26" t="s">
        <v>118</v>
      </c>
      <c r="W7" s="30"/>
      <c r="X7" s="30"/>
      <c r="Y7" s="30"/>
      <c r="Z7" s="30"/>
      <c r="AA7" s="30"/>
      <c r="AB7" s="30"/>
      <c r="AC7" s="30"/>
      <c r="AD7" s="30"/>
      <c r="AE7" s="28" t="str">
        <f t="shared" ref="AE7:AE29" si="2">IF(COUNT(W7:AD7)=8,SUM(W7:AD7),"")</f>
        <v/>
      </c>
      <c r="AF7" s="31"/>
      <c r="AG7" s="31"/>
      <c r="AH7" s="29" t="str">
        <f t="shared" si="1"/>
        <v>Not Started</v>
      </c>
    </row>
    <row r="8" ht="408.75" customHeight="1">
      <c r="A8" s="26">
        <v>458.0</v>
      </c>
      <c r="B8" s="27" t="str">
        <f>HYPERLINK("https://github.com/pytorch-fdn/ambassador-program/issues/458","https://github.com/pytorch-fdn/ambassador-program/issues/458")</f>
        <v>https://github.com/pytorch-fdn/ambassador-program/issues/458</v>
      </c>
      <c r="C8" s="26" t="s">
        <v>219</v>
      </c>
      <c r="D8" s="26" t="s">
        <v>222</v>
      </c>
      <c r="E8" s="26" t="s">
        <v>224</v>
      </c>
      <c r="F8" s="26" t="s">
        <v>95</v>
      </c>
      <c r="G8" s="26" t="s">
        <v>229</v>
      </c>
      <c r="H8" s="26" t="s">
        <v>103</v>
      </c>
      <c r="I8" s="26" t="s">
        <v>100</v>
      </c>
      <c r="J8" s="26" t="s">
        <v>236</v>
      </c>
      <c r="K8" s="26" t="s">
        <v>100</v>
      </c>
      <c r="L8" s="26" t="s">
        <v>239</v>
      </c>
      <c r="M8" s="26" t="s">
        <v>108</v>
      </c>
      <c r="N8" s="26" t="s">
        <v>100</v>
      </c>
      <c r="O8" s="26" t="s">
        <v>147</v>
      </c>
      <c r="P8" s="26" t="s">
        <v>249</v>
      </c>
      <c r="Q8" s="26" t="s">
        <v>251</v>
      </c>
      <c r="R8" s="26" t="s">
        <v>253</v>
      </c>
      <c r="S8" s="26" t="s">
        <v>254</v>
      </c>
      <c r="T8" s="26" t="s">
        <v>121</v>
      </c>
      <c r="U8" s="26" t="s">
        <v>255</v>
      </c>
      <c r="V8" s="26" t="s">
        <v>263</v>
      </c>
      <c r="W8" s="30"/>
      <c r="X8" s="30"/>
      <c r="Y8" s="30"/>
      <c r="Z8" s="30"/>
      <c r="AA8" s="30"/>
      <c r="AB8" s="30"/>
      <c r="AC8" s="30"/>
      <c r="AD8" s="30"/>
      <c r="AE8" s="28" t="str">
        <f t="shared" si="2"/>
        <v/>
      </c>
      <c r="AF8" s="31"/>
      <c r="AG8" s="31"/>
      <c r="AH8" s="29" t="str">
        <f t="shared" si="1"/>
        <v>Not Started</v>
      </c>
    </row>
    <row r="9" ht="408.75" customHeight="1">
      <c r="A9" s="26">
        <v>449.0</v>
      </c>
      <c r="B9" s="27" t="str">
        <f>HYPERLINK("https://github.com/pytorch-fdn/ambassador-program/issues/449","https://github.com/pytorch-fdn/ambassador-program/issues/449")</f>
        <v>https://github.com/pytorch-fdn/ambassador-program/issues/449</v>
      </c>
      <c r="C9" s="26" t="s">
        <v>287</v>
      </c>
      <c r="D9" s="26" t="s">
        <v>288</v>
      </c>
      <c r="E9" s="26" t="s">
        <v>290</v>
      </c>
      <c r="F9" s="26" t="s">
        <v>99</v>
      </c>
      <c r="G9" s="26" t="s">
        <v>292</v>
      </c>
      <c r="H9" s="26" t="s">
        <v>103</v>
      </c>
      <c r="I9" s="26" t="s">
        <v>100</v>
      </c>
      <c r="J9" s="26" t="s">
        <v>293</v>
      </c>
      <c r="K9" s="26" t="s">
        <v>100</v>
      </c>
      <c r="L9" s="26" t="s">
        <v>100</v>
      </c>
      <c r="M9" s="26" t="s">
        <v>294</v>
      </c>
      <c r="N9" s="26" t="s">
        <v>100</v>
      </c>
      <c r="O9" s="26" t="s">
        <v>296</v>
      </c>
      <c r="P9" s="26" t="s">
        <v>297</v>
      </c>
      <c r="Q9" s="26" t="s">
        <v>298</v>
      </c>
      <c r="R9" s="26" t="s">
        <v>300</v>
      </c>
      <c r="S9" s="26" t="s">
        <v>301</v>
      </c>
      <c r="T9" s="26" t="s">
        <v>115</v>
      </c>
      <c r="U9" s="26" t="s">
        <v>117</v>
      </c>
      <c r="V9" s="26" t="s">
        <v>302</v>
      </c>
      <c r="W9" s="30"/>
      <c r="X9" s="30"/>
      <c r="Y9" s="30"/>
      <c r="Z9" s="30"/>
      <c r="AA9" s="30"/>
      <c r="AB9" s="30"/>
      <c r="AC9" s="30"/>
      <c r="AD9" s="30"/>
      <c r="AE9" s="28" t="str">
        <f t="shared" si="2"/>
        <v/>
      </c>
      <c r="AF9" s="31"/>
      <c r="AG9" s="31"/>
      <c r="AH9" s="29" t="str">
        <f t="shared" si="1"/>
        <v>Not Started</v>
      </c>
    </row>
    <row r="10" ht="336.0" customHeight="1">
      <c r="A10" s="26">
        <v>448.0</v>
      </c>
      <c r="B10" s="27" t="str">
        <f>HYPERLINK("https://github.com/pytorch-fdn/ambassador-program/issues/448","https://github.com/pytorch-fdn/ambassador-program/issues/448")</f>
        <v>https://github.com/pytorch-fdn/ambassador-program/issues/448</v>
      </c>
      <c r="C10" s="26" t="s">
        <v>322</v>
      </c>
      <c r="D10" s="26" t="s">
        <v>324</v>
      </c>
      <c r="E10" s="26" t="s">
        <v>326</v>
      </c>
      <c r="F10" s="26" t="s">
        <v>261</v>
      </c>
      <c r="G10" s="26" t="s">
        <v>330</v>
      </c>
      <c r="H10" s="26" t="s">
        <v>103</v>
      </c>
      <c r="I10" s="26" t="s">
        <v>100</v>
      </c>
      <c r="J10" s="26" t="s">
        <v>332</v>
      </c>
      <c r="K10" s="26" t="s">
        <v>100</v>
      </c>
      <c r="L10" s="26" t="s">
        <v>100</v>
      </c>
      <c r="M10" s="26" t="s">
        <v>334</v>
      </c>
      <c r="N10" s="26" t="s">
        <v>335</v>
      </c>
      <c r="O10" s="26" t="s">
        <v>338</v>
      </c>
      <c r="P10" s="26" t="s">
        <v>341</v>
      </c>
      <c r="Q10" s="26" t="s">
        <v>342</v>
      </c>
      <c r="R10" s="26" t="s">
        <v>344</v>
      </c>
      <c r="S10" s="26" t="s">
        <v>346</v>
      </c>
      <c r="T10" s="26" t="s">
        <v>348</v>
      </c>
      <c r="U10" s="26" t="s">
        <v>349</v>
      </c>
      <c r="V10" s="26" t="s">
        <v>351</v>
      </c>
      <c r="W10" s="30"/>
      <c r="X10" s="30"/>
      <c r="Y10" s="30"/>
      <c r="Z10" s="30"/>
      <c r="AA10" s="30"/>
      <c r="AB10" s="30"/>
      <c r="AC10" s="30"/>
      <c r="AD10" s="30"/>
      <c r="AE10" s="28" t="str">
        <f t="shared" si="2"/>
        <v/>
      </c>
      <c r="AF10" s="31"/>
      <c r="AG10" s="31"/>
      <c r="AH10" s="29" t="str">
        <f t="shared" si="1"/>
        <v>Not Started</v>
      </c>
    </row>
    <row r="11" ht="126.0" customHeight="1">
      <c r="A11" s="26">
        <v>440.0</v>
      </c>
      <c r="B11" s="27" t="str">
        <f>HYPERLINK("https://github.com/pytorch-fdn/ambassador-program/issues/440","https://github.com/pytorch-fdn/ambassador-program/issues/440")</f>
        <v>https://github.com/pytorch-fdn/ambassador-program/issues/440</v>
      </c>
      <c r="C11" s="26" t="s">
        <v>358</v>
      </c>
      <c r="D11" s="26" t="s">
        <v>360</v>
      </c>
      <c r="E11" s="26" t="s">
        <v>361</v>
      </c>
      <c r="F11" s="26" t="s">
        <v>261</v>
      </c>
      <c r="G11" s="26" t="s">
        <v>363</v>
      </c>
      <c r="H11" s="26" t="s">
        <v>103</v>
      </c>
      <c r="I11" s="26" t="s">
        <v>100</v>
      </c>
      <c r="J11" s="26" t="s">
        <v>100</v>
      </c>
      <c r="K11" s="26" t="s">
        <v>100</v>
      </c>
      <c r="L11" s="26" t="s">
        <v>370</v>
      </c>
      <c r="M11" s="26" t="s">
        <v>373</v>
      </c>
      <c r="N11" s="26" t="s">
        <v>376</v>
      </c>
      <c r="O11" s="26" t="s">
        <v>377</v>
      </c>
      <c r="P11" s="26" t="s">
        <v>378</v>
      </c>
      <c r="Q11" s="26" t="s">
        <v>383</v>
      </c>
      <c r="R11" s="26" t="s">
        <v>384</v>
      </c>
      <c r="S11" s="26" t="s">
        <v>388</v>
      </c>
      <c r="T11" s="26" t="s">
        <v>121</v>
      </c>
      <c r="U11" s="26" t="s">
        <v>255</v>
      </c>
      <c r="V11" s="26"/>
      <c r="W11" s="30"/>
      <c r="X11" s="30"/>
      <c r="Y11" s="30"/>
      <c r="Z11" s="30"/>
      <c r="AA11" s="30"/>
      <c r="AB11" s="30"/>
      <c r="AC11" s="30"/>
      <c r="AD11" s="30"/>
      <c r="AE11" s="28" t="str">
        <f t="shared" si="2"/>
        <v/>
      </c>
      <c r="AF11" s="31"/>
      <c r="AG11" s="31"/>
      <c r="AH11" s="29" t="str">
        <f t="shared" si="1"/>
        <v>Not Started</v>
      </c>
    </row>
    <row r="12" ht="126.0" customHeight="1">
      <c r="A12" s="26">
        <v>436.0</v>
      </c>
      <c r="B12" s="27" t="str">
        <f>HYPERLINK("https://github.com/pytorch-fdn/ambassador-program/issues/436","https://github.com/pytorch-fdn/ambassador-program/issues/436")</f>
        <v>https://github.com/pytorch-fdn/ambassador-program/issues/436</v>
      </c>
      <c r="C12" s="26" t="s">
        <v>416</v>
      </c>
      <c r="D12" s="26" t="s">
        <v>418</v>
      </c>
      <c r="E12" s="26" t="s">
        <v>420</v>
      </c>
      <c r="F12" s="26" t="s">
        <v>261</v>
      </c>
      <c r="G12" s="26" t="s">
        <v>422</v>
      </c>
      <c r="H12" s="26" t="s">
        <v>103</v>
      </c>
      <c r="I12" s="26" t="s">
        <v>100</v>
      </c>
      <c r="J12" s="26" t="s">
        <v>425</v>
      </c>
      <c r="K12" s="26" t="s">
        <v>100</v>
      </c>
      <c r="L12" s="26" t="s">
        <v>100</v>
      </c>
      <c r="M12" s="26" t="s">
        <v>106</v>
      </c>
      <c r="N12" s="26" t="s">
        <v>100</v>
      </c>
      <c r="O12" s="26" t="s">
        <v>377</v>
      </c>
      <c r="P12" s="26" t="s">
        <v>430</v>
      </c>
      <c r="Q12" s="26" t="s">
        <v>432</v>
      </c>
      <c r="R12" s="26" t="s">
        <v>440</v>
      </c>
      <c r="S12" s="26" t="s">
        <v>442</v>
      </c>
      <c r="T12" s="26" t="s">
        <v>115</v>
      </c>
      <c r="U12" s="26" t="s">
        <v>420</v>
      </c>
      <c r="V12" s="26" t="s">
        <v>118</v>
      </c>
      <c r="W12" s="30"/>
      <c r="X12" s="30"/>
      <c r="Y12" s="30"/>
      <c r="Z12" s="30"/>
      <c r="AA12" s="30"/>
      <c r="AB12" s="30"/>
      <c r="AC12" s="30"/>
      <c r="AD12" s="30"/>
      <c r="AE12" s="28" t="str">
        <f t="shared" si="2"/>
        <v/>
      </c>
      <c r="AF12" s="31"/>
      <c r="AG12" s="31"/>
      <c r="AH12" s="29" t="str">
        <f t="shared" si="1"/>
        <v>Not Started</v>
      </c>
    </row>
    <row r="13" ht="408.75" customHeight="1">
      <c r="A13" s="26">
        <v>435.0</v>
      </c>
      <c r="B13" s="27" t="str">
        <f>HYPERLINK("https://github.com/pytorch-fdn/ambassador-program/issues/435","https://github.com/pytorch-fdn/ambassador-program/issues/435")</f>
        <v>https://github.com/pytorch-fdn/ambassador-program/issues/435</v>
      </c>
      <c r="C13" s="26" t="s">
        <v>472</v>
      </c>
      <c r="D13" s="26" t="s">
        <v>473</v>
      </c>
      <c r="E13" s="26" t="s">
        <v>475</v>
      </c>
      <c r="F13" s="26" t="s">
        <v>95</v>
      </c>
      <c r="G13" s="26" t="s">
        <v>478</v>
      </c>
      <c r="H13" s="26" t="s">
        <v>103</v>
      </c>
      <c r="I13" s="26" t="s">
        <v>480</v>
      </c>
      <c r="J13" s="26" t="s">
        <v>482</v>
      </c>
      <c r="K13" s="26" t="s">
        <v>100</v>
      </c>
      <c r="L13" s="26" t="s">
        <v>100</v>
      </c>
      <c r="M13" s="26" t="s">
        <v>485</v>
      </c>
      <c r="N13" s="26" t="s">
        <v>100</v>
      </c>
      <c r="O13" s="26" t="s">
        <v>488</v>
      </c>
      <c r="P13" s="26" t="s">
        <v>489</v>
      </c>
      <c r="Q13" s="26" t="s">
        <v>490</v>
      </c>
      <c r="R13" s="26" t="s">
        <v>491</v>
      </c>
      <c r="S13" s="26" t="s">
        <v>144</v>
      </c>
      <c r="T13" s="26" t="s">
        <v>115</v>
      </c>
      <c r="U13" s="26" t="s">
        <v>145</v>
      </c>
      <c r="V13" s="26" t="s">
        <v>118</v>
      </c>
      <c r="W13" s="30"/>
      <c r="X13" s="30"/>
      <c r="Y13" s="30"/>
      <c r="Z13" s="30"/>
      <c r="AA13" s="30"/>
      <c r="AB13" s="30"/>
      <c r="AC13" s="30"/>
      <c r="AD13" s="30"/>
      <c r="AE13" s="28" t="str">
        <f t="shared" si="2"/>
        <v/>
      </c>
      <c r="AF13" s="31"/>
      <c r="AG13" s="31"/>
      <c r="AH13" s="29" t="str">
        <f t="shared" si="1"/>
        <v>Not Started</v>
      </c>
    </row>
    <row r="14" ht="228.0" customHeight="1">
      <c r="A14" s="26">
        <v>433.0</v>
      </c>
      <c r="B14" s="27" t="str">
        <f>HYPERLINK("https://github.com/pytorch-fdn/ambassador-program/issues/433","https://github.com/pytorch-fdn/ambassador-program/issues/433")</f>
        <v>https://github.com/pytorch-fdn/ambassador-program/issues/433</v>
      </c>
      <c r="C14" s="26" t="s">
        <v>525</v>
      </c>
      <c r="D14" s="26" t="s">
        <v>526</v>
      </c>
      <c r="E14" s="26" t="s">
        <v>421</v>
      </c>
      <c r="F14" s="26" t="s">
        <v>175</v>
      </c>
      <c r="G14" s="26" t="s">
        <v>528</v>
      </c>
      <c r="H14" s="26" t="s">
        <v>103</v>
      </c>
      <c r="I14" s="26" t="s">
        <v>100</v>
      </c>
      <c r="J14" s="26" t="s">
        <v>532</v>
      </c>
      <c r="K14" s="26" t="s">
        <v>534</v>
      </c>
      <c r="L14" s="26" t="s">
        <v>100</v>
      </c>
      <c r="M14" s="26" t="s">
        <v>162</v>
      </c>
      <c r="N14" s="26" t="s">
        <v>100</v>
      </c>
      <c r="O14" s="26" t="s">
        <v>538</v>
      </c>
      <c r="P14" s="26" t="s">
        <v>539</v>
      </c>
      <c r="Q14" s="26" t="s">
        <v>543</v>
      </c>
      <c r="R14" s="26" t="s">
        <v>546</v>
      </c>
      <c r="S14" s="26" t="s">
        <v>549</v>
      </c>
      <c r="T14" s="26" t="s">
        <v>115</v>
      </c>
      <c r="U14" s="26" t="s">
        <v>145</v>
      </c>
      <c r="V14" s="26" t="s">
        <v>118</v>
      </c>
      <c r="W14" s="30"/>
      <c r="X14" s="30"/>
      <c r="Y14" s="30"/>
      <c r="Z14" s="30"/>
      <c r="AA14" s="30"/>
      <c r="AB14" s="30"/>
      <c r="AC14" s="30"/>
      <c r="AD14" s="30"/>
      <c r="AE14" s="28" t="str">
        <f t="shared" si="2"/>
        <v/>
      </c>
      <c r="AF14" s="31"/>
      <c r="AG14" s="31"/>
      <c r="AH14" s="29" t="str">
        <f t="shared" si="1"/>
        <v>Not Started</v>
      </c>
    </row>
    <row r="15" ht="348.0" customHeight="1">
      <c r="A15" s="26">
        <v>431.0</v>
      </c>
      <c r="B15" s="27" t="str">
        <f>HYPERLINK("https://github.com/pytorch-fdn/ambassador-program/issues/431","https://github.com/pytorch-fdn/ambassador-program/issues/431")</f>
        <v>https://github.com/pytorch-fdn/ambassador-program/issues/431</v>
      </c>
      <c r="C15" s="26" t="s">
        <v>574</v>
      </c>
      <c r="D15" s="26" t="s">
        <v>576</v>
      </c>
      <c r="E15" s="26" t="s">
        <v>579</v>
      </c>
      <c r="F15" s="26" t="s">
        <v>261</v>
      </c>
      <c r="G15" s="26" t="s">
        <v>580</v>
      </c>
      <c r="H15" s="26" t="s">
        <v>103</v>
      </c>
      <c r="I15" s="26" t="s">
        <v>100</v>
      </c>
      <c r="J15" s="26" t="s">
        <v>582</v>
      </c>
      <c r="K15" s="26" t="s">
        <v>100</v>
      </c>
      <c r="L15" s="26" t="s">
        <v>100</v>
      </c>
      <c r="M15" s="26" t="s">
        <v>162</v>
      </c>
      <c r="N15" s="26" t="s">
        <v>100</v>
      </c>
      <c r="O15" s="26" t="s">
        <v>279</v>
      </c>
      <c r="P15" s="26" t="s">
        <v>588</v>
      </c>
      <c r="Q15" s="26" t="s">
        <v>589</v>
      </c>
      <c r="R15" s="26" t="s">
        <v>591</v>
      </c>
      <c r="S15" s="26" t="s">
        <v>592</v>
      </c>
      <c r="T15" s="26" t="s">
        <v>348</v>
      </c>
      <c r="U15" s="26" t="s">
        <v>593</v>
      </c>
      <c r="V15" s="26" t="s">
        <v>594</v>
      </c>
      <c r="W15" s="30"/>
      <c r="X15" s="30"/>
      <c r="Y15" s="30"/>
      <c r="Z15" s="30"/>
      <c r="AA15" s="30"/>
      <c r="AB15" s="30"/>
      <c r="AC15" s="30"/>
      <c r="AD15" s="30"/>
      <c r="AE15" s="28" t="str">
        <f t="shared" si="2"/>
        <v/>
      </c>
      <c r="AF15" s="31"/>
      <c r="AG15" s="31"/>
      <c r="AH15" s="29" t="str">
        <f t="shared" si="1"/>
        <v>Not Started</v>
      </c>
    </row>
    <row r="16" ht="408.75" customHeight="1">
      <c r="A16" s="26">
        <v>427.0</v>
      </c>
      <c r="B16" s="27" t="str">
        <f>HYPERLINK("https://github.com/pytorch-fdn/ambassador-program/issues/427","https://github.com/pytorch-fdn/ambassador-program/issues/427")</f>
        <v>https://github.com/pytorch-fdn/ambassador-program/issues/427</v>
      </c>
      <c r="C16" s="26" t="s">
        <v>607</v>
      </c>
      <c r="D16" s="26" t="s">
        <v>608</v>
      </c>
      <c r="E16" s="26" t="s">
        <v>610</v>
      </c>
      <c r="F16" s="26" t="s">
        <v>261</v>
      </c>
      <c r="G16" s="26" t="s">
        <v>614</v>
      </c>
      <c r="H16" s="26" t="s">
        <v>103</v>
      </c>
      <c r="I16" s="26" t="s">
        <v>100</v>
      </c>
      <c r="J16" s="26" t="s">
        <v>619</v>
      </c>
      <c r="K16" s="26" t="s">
        <v>620</v>
      </c>
      <c r="L16" s="26" t="s">
        <v>100</v>
      </c>
      <c r="M16" s="26" t="s">
        <v>334</v>
      </c>
      <c r="N16" s="26" t="s">
        <v>335</v>
      </c>
      <c r="O16" s="26" t="s">
        <v>621</v>
      </c>
      <c r="P16" s="26" t="s">
        <v>622</v>
      </c>
      <c r="Q16" s="26" t="s">
        <v>623</v>
      </c>
      <c r="R16" s="26" t="s">
        <v>624</v>
      </c>
      <c r="S16" s="26" t="s">
        <v>625</v>
      </c>
      <c r="T16" s="26" t="s">
        <v>115</v>
      </c>
      <c r="U16" s="26" t="s">
        <v>117</v>
      </c>
      <c r="V16" s="26" t="s">
        <v>627</v>
      </c>
      <c r="W16" s="30"/>
      <c r="X16" s="30"/>
      <c r="Y16" s="30"/>
      <c r="Z16" s="30"/>
      <c r="AA16" s="30"/>
      <c r="AB16" s="30"/>
      <c r="AC16" s="30"/>
      <c r="AD16" s="30"/>
      <c r="AE16" s="28" t="str">
        <f t="shared" si="2"/>
        <v/>
      </c>
      <c r="AF16" s="31"/>
      <c r="AG16" s="31"/>
      <c r="AH16" s="29" t="str">
        <f t="shared" si="1"/>
        <v>Not Started</v>
      </c>
    </row>
    <row r="17" ht="372.0" customHeight="1">
      <c r="A17" s="26">
        <v>409.0</v>
      </c>
      <c r="B17" s="27" t="str">
        <f>HYPERLINK("https://github.com/pytorch-fdn/ambassador-program/issues/409","https://github.com/pytorch-fdn/ambassador-program/issues/409")</f>
        <v>https://github.com/pytorch-fdn/ambassador-program/issues/409</v>
      </c>
      <c r="C17" s="26" t="s">
        <v>637</v>
      </c>
      <c r="D17" s="26" t="s">
        <v>638</v>
      </c>
      <c r="E17" s="26" t="s">
        <v>639</v>
      </c>
      <c r="F17" s="26" t="s">
        <v>175</v>
      </c>
      <c r="G17" s="26" t="s">
        <v>640</v>
      </c>
      <c r="H17" s="26" t="s">
        <v>103</v>
      </c>
      <c r="I17" s="26" t="s">
        <v>100</v>
      </c>
      <c r="J17" s="26" t="s">
        <v>641</v>
      </c>
      <c r="K17" s="26" t="s">
        <v>100</v>
      </c>
      <c r="L17" s="26" t="s">
        <v>100</v>
      </c>
      <c r="M17" s="26" t="s">
        <v>642</v>
      </c>
      <c r="N17" s="26" t="s">
        <v>100</v>
      </c>
      <c r="O17" s="26" t="s">
        <v>643</v>
      </c>
      <c r="P17" s="26" t="s">
        <v>649</v>
      </c>
      <c r="Q17" s="26" t="s">
        <v>654</v>
      </c>
      <c r="R17" s="26" t="s">
        <v>657</v>
      </c>
      <c r="S17" s="26" t="s">
        <v>659</v>
      </c>
      <c r="T17" s="26" t="s">
        <v>348</v>
      </c>
      <c r="U17" s="26" t="s">
        <v>661</v>
      </c>
      <c r="V17" s="26" t="s">
        <v>664</v>
      </c>
      <c r="W17" s="30"/>
      <c r="X17" s="30"/>
      <c r="Y17" s="30"/>
      <c r="Z17" s="30"/>
      <c r="AA17" s="30"/>
      <c r="AB17" s="30"/>
      <c r="AC17" s="30"/>
      <c r="AD17" s="30"/>
      <c r="AE17" s="28" t="str">
        <f t="shared" si="2"/>
        <v/>
      </c>
      <c r="AF17" s="31"/>
      <c r="AG17" s="31"/>
      <c r="AH17" s="29" t="str">
        <f t="shared" si="1"/>
        <v>Not Started</v>
      </c>
    </row>
    <row r="18" ht="126.0" customHeight="1">
      <c r="A18" s="26">
        <v>407.0</v>
      </c>
      <c r="B18" s="27" t="str">
        <f>HYPERLINK("https://github.com/pytorch-fdn/ambassador-program/issues/407","https://github.com/pytorch-fdn/ambassador-program/issues/407")</f>
        <v>https://github.com/pytorch-fdn/ambassador-program/issues/407</v>
      </c>
      <c r="C18" s="26" t="s">
        <v>686</v>
      </c>
      <c r="D18" s="26" t="s">
        <v>688</v>
      </c>
      <c r="E18" s="26" t="s">
        <v>690</v>
      </c>
      <c r="F18" s="26" t="s">
        <v>99</v>
      </c>
      <c r="G18" s="26" t="s">
        <v>692</v>
      </c>
      <c r="H18" s="26" t="s">
        <v>103</v>
      </c>
      <c r="I18" s="26" t="s">
        <v>100</v>
      </c>
      <c r="J18" s="26" t="s">
        <v>694</v>
      </c>
      <c r="K18" s="26" t="s">
        <v>697</v>
      </c>
      <c r="L18" s="26" t="s">
        <v>100</v>
      </c>
      <c r="M18" s="26" t="s">
        <v>108</v>
      </c>
      <c r="N18" s="26" t="s">
        <v>100</v>
      </c>
      <c r="O18" s="26" t="s">
        <v>701</v>
      </c>
      <c r="P18" s="26" t="s">
        <v>703</v>
      </c>
      <c r="Q18" s="26" t="s">
        <v>704</v>
      </c>
      <c r="R18" s="26" t="s">
        <v>706</v>
      </c>
      <c r="S18" s="26" t="s">
        <v>707</v>
      </c>
      <c r="T18" s="26" t="s">
        <v>158</v>
      </c>
      <c r="U18" s="26" t="s">
        <v>160</v>
      </c>
      <c r="V18" s="26" t="s">
        <v>118</v>
      </c>
      <c r="W18" s="30"/>
      <c r="X18" s="30"/>
      <c r="Y18" s="30"/>
      <c r="Z18" s="30"/>
      <c r="AA18" s="30"/>
      <c r="AB18" s="30"/>
      <c r="AC18" s="30"/>
      <c r="AD18" s="30"/>
      <c r="AE18" s="28" t="str">
        <f t="shared" si="2"/>
        <v/>
      </c>
      <c r="AF18" s="31"/>
      <c r="AG18" s="31"/>
      <c r="AH18" s="29" t="str">
        <f t="shared" si="1"/>
        <v>Not Started</v>
      </c>
    </row>
    <row r="19" ht="396.0" customHeight="1">
      <c r="A19" s="26">
        <v>403.0</v>
      </c>
      <c r="B19" s="27" t="str">
        <f>HYPERLINK("https://github.com/pytorch-fdn/ambassador-program/issues/403","https://github.com/pytorch-fdn/ambassador-program/issues/403")</f>
        <v>https://github.com/pytorch-fdn/ambassador-program/issues/403</v>
      </c>
      <c r="C19" s="26" t="s">
        <v>732</v>
      </c>
      <c r="D19" s="26" t="s">
        <v>733</v>
      </c>
      <c r="E19" s="26" t="s">
        <v>734</v>
      </c>
      <c r="F19" s="26" t="s">
        <v>261</v>
      </c>
      <c r="G19" s="26" t="s">
        <v>740</v>
      </c>
      <c r="H19" s="26" t="s">
        <v>103</v>
      </c>
      <c r="I19" s="26" t="s">
        <v>100</v>
      </c>
      <c r="J19" s="26" t="s">
        <v>744</v>
      </c>
      <c r="K19" s="26" t="s">
        <v>746</v>
      </c>
      <c r="L19" s="26" t="s">
        <v>100</v>
      </c>
      <c r="M19" s="26" t="s">
        <v>730</v>
      </c>
      <c r="N19" s="26" t="s">
        <v>100</v>
      </c>
      <c r="O19" s="26" t="s">
        <v>279</v>
      </c>
      <c r="P19" s="26" t="s">
        <v>747</v>
      </c>
      <c r="Q19" s="26" t="s">
        <v>749</v>
      </c>
      <c r="R19" s="26" t="s">
        <v>750</v>
      </c>
      <c r="S19" s="26" t="s">
        <v>592</v>
      </c>
      <c r="T19" s="26" t="s">
        <v>158</v>
      </c>
      <c r="U19" s="26" t="s">
        <v>724</v>
      </c>
      <c r="V19" s="26" t="s">
        <v>118</v>
      </c>
      <c r="W19" s="30"/>
      <c r="X19" s="30"/>
      <c r="Y19" s="30"/>
      <c r="Z19" s="30"/>
      <c r="AA19" s="30"/>
      <c r="AB19" s="30"/>
      <c r="AC19" s="30"/>
      <c r="AD19" s="30"/>
      <c r="AE19" s="28" t="str">
        <f t="shared" si="2"/>
        <v/>
      </c>
      <c r="AF19" s="31"/>
      <c r="AG19" s="31"/>
      <c r="AH19" s="29" t="str">
        <f t="shared" si="1"/>
        <v>Not Started</v>
      </c>
    </row>
    <row r="20" ht="126.0" customHeight="1">
      <c r="A20" s="26">
        <v>399.0</v>
      </c>
      <c r="B20" s="27" t="str">
        <f>HYPERLINK("https://github.com/pytorch-fdn/ambassador-program/issues/399","https://github.com/pytorch-fdn/ambassador-program/issues/399")</f>
        <v>https://github.com/pytorch-fdn/ambassador-program/issues/399</v>
      </c>
      <c r="C20" s="26" t="s">
        <v>775</v>
      </c>
      <c r="D20" s="26" t="s">
        <v>780</v>
      </c>
      <c r="E20" s="26" t="s">
        <v>781</v>
      </c>
      <c r="F20" s="26" t="s">
        <v>95</v>
      </c>
      <c r="G20" s="26" t="s">
        <v>782</v>
      </c>
      <c r="H20" s="26" t="s">
        <v>103</v>
      </c>
      <c r="I20" s="26" t="s">
        <v>100</v>
      </c>
      <c r="J20" s="26" t="s">
        <v>784</v>
      </c>
      <c r="K20" s="26" t="s">
        <v>785</v>
      </c>
      <c r="L20" s="26" t="s">
        <v>100</v>
      </c>
      <c r="M20" s="26" t="s">
        <v>108</v>
      </c>
      <c r="N20" s="26" t="s">
        <v>100</v>
      </c>
      <c r="O20" s="26" t="s">
        <v>789</v>
      </c>
      <c r="P20" s="26" t="s">
        <v>790</v>
      </c>
      <c r="Q20" s="26" t="s">
        <v>792</v>
      </c>
      <c r="R20" s="26" t="s">
        <v>793</v>
      </c>
      <c r="S20" s="26" t="s">
        <v>169</v>
      </c>
      <c r="T20" s="26" t="s">
        <v>158</v>
      </c>
      <c r="U20" s="26" t="s">
        <v>794</v>
      </c>
      <c r="V20" s="26" t="s">
        <v>118</v>
      </c>
      <c r="W20" s="30"/>
      <c r="X20" s="30"/>
      <c r="Y20" s="30"/>
      <c r="Z20" s="30"/>
      <c r="AA20" s="30"/>
      <c r="AB20" s="30"/>
      <c r="AC20" s="30"/>
      <c r="AD20" s="30"/>
      <c r="AE20" s="28" t="str">
        <f t="shared" si="2"/>
        <v/>
      </c>
      <c r="AF20" s="31"/>
      <c r="AG20" s="31"/>
      <c r="AH20" s="29" t="str">
        <f t="shared" si="1"/>
        <v>Not Started</v>
      </c>
    </row>
    <row r="21" ht="408.75" customHeight="1">
      <c r="A21" s="26">
        <v>395.0</v>
      </c>
      <c r="B21" s="27" t="str">
        <f>HYPERLINK("https://github.com/pytorch-fdn/ambassador-program/issues/395","https://github.com/pytorch-fdn/ambassador-program/issues/395")</f>
        <v>https://github.com/pytorch-fdn/ambassador-program/issues/395</v>
      </c>
      <c r="C21" s="26" t="s">
        <v>569</v>
      </c>
      <c r="D21" s="26" t="s">
        <v>570</v>
      </c>
      <c r="E21" s="26" t="s">
        <v>572</v>
      </c>
      <c r="F21" s="26" t="s">
        <v>261</v>
      </c>
      <c r="G21" s="26" t="s">
        <v>573</v>
      </c>
      <c r="H21" s="26" t="s">
        <v>103</v>
      </c>
      <c r="I21" s="26" t="s">
        <v>100</v>
      </c>
      <c r="J21" s="26" t="s">
        <v>577</v>
      </c>
      <c r="K21" s="26" t="s">
        <v>100</v>
      </c>
      <c r="L21" s="26" t="s">
        <v>100</v>
      </c>
      <c r="M21" s="26" t="s">
        <v>106</v>
      </c>
      <c r="N21" s="26" t="s">
        <v>100</v>
      </c>
      <c r="O21" s="26" t="s">
        <v>279</v>
      </c>
      <c r="P21" s="26" t="s">
        <v>583</v>
      </c>
      <c r="Q21" s="26" t="s">
        <v>585</v>
      </c>
      <c r="R21" s="26" t="s">
        <v>587</v>
      </c>
      <c r="S21" s="26" t="s">
        <v>144</v>
      </c>
      <c r="T21" s="26" t="s">
        <v>158</v>
      </c>
      <c r="U21" s="26" t="s">
        <v>552</v>
      </c>
      <c r="V21" s="26" t="s">
        <v>590</v>
      </c>
      <c r="W21" s="30"/>
      <c r="X21" s="30"/>
      <c r="Y21" s="30"/>
      <c r="Z21" s="30"/>
      <c r="AA21" s="30"/>
      <c r="AB21" s="30"/>
      <c r="AC21" s="30"/>
      <c r="AD21" s="30"/>
      <c r="AE21" s="28" t="str">
        <f t="shared" si="2"/>
        <v/>
      </c>
      <c r="AF21" s="31"/>
      <c r="AG21" s="31"/>
      <c r="AH21" s="29" t="str">
        <f t="shared" si="1"/>
        <v>Not Started</v>
      </c>
    </row>
    <row r="22" ht="180.0" customHeight="1">
      <c r="A22" s="26">
        <v>393.0</v>
      </c>
      <c r="B22" s="27" t="str">
        <f>HYPERLINK("https://github.com/pytorch-fdn/ambassador-program/issues/393","https://github.com/pytorch-fdn/ambassador-program/issues/393")</f>
        <v>https://github.com/pytorch-fdn/ambassador-program/issues/393</v>
      </c>
      <c r="C22" s="26" t="s">
        <v>839</v>
      </c>
      <c r="D22" s="26" t="s">
        <v>840</v>
      </c>
      <c r="E22" s="26" t="s">
        <v>842</v>
      </c>
      <c r="F22" s="26" t="s">
        <v>99</v>
      </c>
      <c r="G22" s="26" t="s">
        <v>844</v>
      </c>
      <c r="H22" s="26" t="s">
        <v>103</v>
      </c>
      <c r="I22" s="26" t="s">
        <v>100</v>
      </c>
      <c r="J22" s="26" t="s">
        <v>846</v>
      </c>
      <c r="K22" s="26" t="s">
        <v>100</v>
      </c>
      <c r="L22" s="26" t="s">
        <v>100</v>
      </c>
      <c r="M22" s="26" t="s">
        <v>162</v>
      </c>
      <c r="N22" s="26" t="s">
        <v>100</v>
      </c>
      <c r="O22" s="26" t="s">
        <v>377</v>
      </c>
      <c r="P22" s="26" t="s">
        <v>847</v>
      </c>
      <c r="Q22" s="26" t="s">
        <v>850</v>
      </c>
      <c r="R22" s="26" t="s">
        <v>852</v>
      </c>
      <c r="S22" s="26" t="s">
        <v>399</v>
      </c>
      <c r="T22" s="26" t="s">
        <v>121</v>
      </c>
      <c r="U22" s="26" t="s">
        <v>854</v>
      </c>
      <c r="V22" s="26" t="s">
        <v>118</v>
      </c>
      <c r="W22" s="30"/>
      <c r="X22" s="30"/>
      <c r="Y22" s="30"/>
      <c r="Z22" s="30"/>
      <c r="AA22" s="30"/>
      <c r="AB22" s="30"/>
      <c r="AC22" s="30"/>
      <c r="AD22" s="30"/>
      <c r="AE22" s="28" t="str">
        <f t="shared" si="2"/>
        <v/>
      </c>
      <c r="AF22" s="31"/>
      <c r="AG22" s="31"/>
      <c r="AH22" s="29" t="str">
        <f t="shared" si="1"/>
        <v>Not Started</v>
      </c>
    </row>
    <row r="23" ht="126.0" customHeight="1">
      <c r="A23" s="26">
        <v>390.0</v>
      </c>
      <c r="B23" s="27" t="str">
        <f>HYPERLINK("https://github.com/pytorch-fdn/ambassador-program/issues/390","https://github.com/pytorch-fdn/ambassador-program/issues/390")</f>
        <v>https://github.com/pytorch-fdn/ambassador-program/issues/390</v>
      </c>
      <c r="C23" s="26" t="s">
        <v>872</v>
      </c>
      <c r="D23" s="26" t="s">
        <v>873</v>
      </c>
      <c r="E23" s="26" t="s">
        <v>874</v>
      </c>
      <c r="F23" s="26" t="s">
        <v>99</v>
      </c>
      <c r="G23" s="26" t="s">
        <v>875</v>
      </c>
      <c r="H23" s="26" t="s">
        <v>103</v>
      </c>
      <c r="I23" s="26" t="s">
        <v>100</v>
      </c>
      <c r="J23" s="26" t="s">
        <v>876</v>
      </c>
      <c r="K23" s="26" t="s">
        <v>100</v>
      </c>
      <c r="L23" s="26" t="s">
        <v>100</v>
      </c>
      <c r="M23" s="26" t="s">
        <v>108</v>
      </c>
      <c r="N23" s="26" t="s">
        <v>100</v>
      </c>
      <c r="O23" s="26" t="s">
        <v>881</v>
      </c>
      <c r="P23" s="26" t="s">
        <v>882</v>
      </c>
      <c r="Q23" s="26" t="s">
        <v>884</v>
      </c>
      <c r="R23" s="26" t="s">
        <v>886</v>
      </c>
      <c r="S23" s="26" t="s">
        <v>887</v>
      </c>
      <c r="T23" s="26" t="s">
        <v>115</v>
      </c>
      <c r="U23" s="26" t="s">
        <v>117</v>
      </c>
      <c r="V23" s="26" t="s">
        <v>118</v>
      </c>
      <c r="W23" s="30"/>
      <c r="X23" s="30"/>
      <c r="Y23" s="30"/>
      <c r="Z23" s="30"/>
      <c r="AA23" s="30"/>
      <c r="AB23" s="30"/>
      <c r="AC23" s="30"/>
      <c r="AD23" s="30"/>
      <c r="AE23" s="28" t="str">
        <f t="shared" si="2"/>
        <v/>
      </c>
      <c r="AF23" s="31"/>
      <c r="AG23" s="31"/>
      <c r="AH23" s="29" t="str">
        <f t="shared" si="1"/>
        <v>Not Started</v>
      </c>
    </row>
    <row r="24" ht="126.0" customHeight="1">
      <c r="A24" s="26">
        <v>389.0</v>
      </c>
      <c r="B24" s="27" t="str">
        <f>HYPERLINK("https://github.com/pytorch-fdn/ambassador-program/issues/389","https://github.com/pytorch-fdn/ambassador-program/issues/389")</f>
        <v>https://github.com/pytorch-fdn/ambassador-program/issues/389</v>
      </c>
      <c r="C24" s="26" t="s">
        <v>795</v>
      </c>
      <c r="D24" s="26" t="s">
        <v>796</v>
      </c>
      <c r="E24" s="26" t="s">
        <v>797</v>
      </c>
      <c r="F24" s="26" t="s">
        <v>261</v>
      </c>
      <c r="G24" s="26" t="s">
        <v>798</v>
      </c>
      <c r="H24" s="26" t="s">
        <v>103</v>
      </c>
      <c r="I24" s="26" t="s">
        <v>799</v>
      </c>
      <c r="J24" s="26" t="s">
        <v>801</v>
      </c>
      <c r="K24" s="26" t="s">
        <v>100</v>
      </c>
      <c r="L24" s="26" t="s">
        <v>100</v>
      </c>
      <c r="M24" s="26" t="s">
        <v>334</v>
      </c>
      <c r="N24" s="26" t="s">
        <v>802</v>
      </c>
      <c r="O24" s="26" t="s">
        <v>803</v>
      </c>
      <c r="P24" s="26" t="s">
        <v>804</v>
      </c>
      <c r="Q24" s="26" t="s">
        <v>805</v>
      </c>
      <c r="R24" s="26" t="s">
        <v>806</v>
      </c>
      <c r="S24" s="26" t="s">
        <v>807</v>
      </c>
      <c r="T24" s="26" t="s">
        <v>115</v>
      </c>
      <c r="U24" s="26" t="s">
        <v>145</v>
      </c>
      <c r="V24" s="26" t="s">
        <v>118</v>
      </c>
      <c r="W24" s="30"/>
      <c r="X24" s="30"/>
      <c r="Y24" s="30"/>
      <c r="Z24" s="30"/>
      <c r="AA24" s="30"/>
      <c r="AB24" s="30"/>
      <c r="AC24" s="30"/>
      <c r="AD24" s="30"/>
      <c r="AE24" s="28" t="str">
        <f t="shared" si="2"/>
        <v/>
      </c>
      <c r="AF24" s="31"/>
      <c r="AG24" s="31"/>
      <c r="AH24" s="29" t="str">
        <f t="shared" si="1"/>
        <v>Not Started</v>
      </c>
    </row>
    <row r="25" ht="168.0" customHeight="1">
      <c r="A25" s="26">
        <v>386.0</v>
      </c>
      <c r="B25" s="27" t="str">
        <f>HYPERLINK("https://github.com/pytorch-fdn/ambassador-program/issues/386","https://github.com/pytorch-fdn/ambassador-program/issues/386")</f>
        <v>https://github.com/pytorch-fdn/ambassador-program/issues/386</v>
      </c>
      <c r="C25" s="26" t="s">
        <v>913</v>
      </c>
      <c r="D25" s="26" t="s">
        <v>914</v>
      </c>
      <c r="E25" s="26" t="s">
        <v>915</v>
      </c>
      <c r="F25" s="26" t="s">
        <v>175</v>
      </c>
      <c r="G25" s="26" t="s">
        <v>916</v>
      </c>
      <c r="H25" s="26" t="s">
        <v>103</v>
      </c>
      <c r="I25" s="26" t="s">
        <v>100</v>
      </c>
      <c r="J25" s="26" t="s">
        <v>917</v>
      </c>
      <c r="K25" s="26" t="s">
        <v>100</v>
      </c>
      <c r="L25" s="26" t="s">
        <v>100</v>
      </c>
      <c r="M25" s="26" t="s">
        <v>824</v>
      </c>
      <c r="N25" s="26" t="s">
        <v>919</v>
      </c>
      <c r="O25" s="26" t="s">
        <v>921</v>
      </c>
      <c r="P25" s="26" t="s">
        <v>923</v>
      </c>
      <c r="Q25" s="26" t="s">
        <v>925</v>
      </c>
      <c r="R25" s="26" t="s">
        <v>926</v>
      </c>
      <c r="S25" s="26" t="s">
        <v>927</v>
      </c>
      <c r="T25" s="26" t="s">
        <v>115</v>
      </c>
      <c r="U25" s="26" t="s">
        <v>145</v>
      </c>
      <c r="V25" s="26" t="s">
        <v>933</v>
      </c>
      <c r="W25" s="30"/>
      <c r="X25" s="30"/>
      <c r="Y25" s="30"/>
      <c r="Z25" s="30"/>
      <c r="AA25" s="30"/>
      <c r="AB25" s="30"/>
      <c r="AC25" s="30"/>
      <c r="AD25" s="30"/>
      <c r="AE25" s="28" t="str">
        <f t="shared" si="2"/>
        <v/>
      </c>
      <c r="AF25" s="31"/>
      <c r="AG25" s="31"/>
      <c r="AH25" s="29" t="str">
        <f t="shared" si="1"/>
        <v>Not Started</v>
      </c>
    </row>
    <row r="26" ht="408.75" customHeight="1">
      <c r="A26" s="26">
        <v>385.0</v>
      </c>
      <c r="B26" s="27" t="str">
        <f>HYPERLINK("https://github.com/pytorch-fdn/ambassador-program/issues/385","https://github.com/pytorch-fdn/ambassador-program/issues/385")</f>
        <v>https://github.com/pytorch-fdn/ambassador-program/issues/385</v>
      </c>
      <c r="C26" s="26" t="s">
        <v>628</v>
      </c>
      <c r="D26" s="26" t="s">
        <v>629</v>
      </c>
      <c r="E26" s="26" t="s">
        <v>630</v>
      </c>
      <c r="F26" s="26" t="s">
        <v>261</v>
      </c>
      <c r="G26" s="26" t="s">
        <v>100</v>
      </c>
      <c r="H26" s="26" t="s">
        <v>103</v>
      </c>
      <c r="I26" s="26" t="s">
        <v>100</v>
      </c>
      <c r="J26" s="26" t="s">
        <v>631</v>
      </c>
      <c r="K26" s="26" t="s">
        <v>100</v>
      </c>
      <c r="L26" s="26" t="s">
        <v>100</v>
      </c>
      <c r="M26" s="26" t="s">
        <v>444</v>
      </c>
      <c r="N26" s="26" t="s">
        <v>100</v>
      </c>
      <c r="O26" s="26" t="s">
        <v>632</v>
      </c>
      <c r="P26" s="26" t="s">
        <v>633</v>
      </c>
      <c r="Q26" s="26" t="s">
        <v>634</v>
      </c>
      <c r="R26" s="26" t="s">
        <v>635</v>
      </c>
      <c r="S26" s="26" t="s">
        <v>120</v>
      </c>
      <c r="T26" s="26" t="s">
        <v>115</v>
      </c>
      <c r="U26" s="26" t="s">
        <v>145</v>
      </c>
      <c r="V26" s="26" t="s">
        <v>636</v>
      </c>
      <c r="W26" s="30"/>
      <c r="X26" s="30"/>
      <c r="Y26" s="30"/>
      <c r="Z26" s="30"/>
      <c r="AA26" s="30"/>
      <c r="AB26" s="30"/>
      <c r="AC26" s="30"/>
      <c r="AD26" s="30"/>
      <c r="AE26" s="28" t="str">
        <f t="shared" si="2"/>
        <v/>
      </c>
      <c r="AF26" s="31"/>
      <c r="AG26" s="31"/>
      <c r="AH26" s="29" t="str">
        <f t="shared" si="1"/>
        <v>Not Started</v>
      </c>
    </row>
    <row r="27" ht="408.75" customHeight="1">
      <c r="A27" s="26">
        <v>355.0</v>
      </c>
      <c r="B27" s="27" t="str">
        <f>HYPERLINK("https://github.com/pytorch-fdn/ambassador-program/issues/355","https://github.com/pytorch-fdn/ambassador-program/issues/355")</f>
        <v>https://github.com/pytorch-fdn/ambassador-program/issues/355</v>
      </c>
      <c r="C27" s="26" t="s">
        <v>943</v>
      </c>
      <c r="D27" s="26" t="s">
        <v>944</v>
      </c>
      <c r="E27" s="26" t="s">
        <v>947</v>
      </c>
      <c r="F27" s="26" t="s">
        <v>95</v>
      </c>
      <c r="G27" s="26" t="s">
        <v>100</v>
      </c>
      <c r="H27" s="26" t="s">
        <v>103</v>
      </c>
      <c r="I27" s="26" t="s">
        <v>100</v>
      </c>
      <c r="J27" s="26" t="s">
        <v>950</v>
      </c>
      <c r="K27" s="26" t="s">
        <v>952</v>
      </c>
      <c r="L27" s="26" t="s">
        <v>100</v>
      </c>
      <c r="M27" s="26" t="s">
        <v>954</v>
      </c>
      <c r="N27" s="26" t="s">
        <v>955</v>
      </c>
      <c r="O27" s="26" t="s">
        <v>956</v>
      </c>
      <c r="P27" s="26" t="s">
        <v>957</v>
      </c>
      <c r="Q27" s="26" t="s">
        <v>958</v>
      </c>
      <c r="R27" s="26" t="s">
        <v>959</v>
      </c>
      <c r="S27" s="26" t="s">
        <v>777</v>
      </c>
      <c r="T27" s="26" t="s">
        <v>115</v>
      </c>
      <c r="U27" s="26" t="s">
        <v>866</v>
      </c>
      <c r="V27" s="26" t="s">
        <v>118</v>
      </c>
      <c r="W27" s="30"/>
      <c r="X27" s="30"/>
      <c r="Y27" s="30"/>
      <c r="Z27" s="30"/>
      <c r="AA27" s="30"/>
      <c r="AB27" s="30"/>
      <c r="AC27" s="30"/>
      <c r="AD27" s="30"/>
      <c r="AE27" s="28" t="str">
        <f t="shared" si="2"/>
        <v/>
      </c>
      <c r="AF27" s="31"/>
      <c r="AG27" s="31"/>
      <c r="AH27" s="29" t="str">
        <f t="shared" si="1"/>
        <v>Not Started</v>
      </c>
    </row>
    <row r="28" ht="408.0" customHeight="1">
      <c r="A28" s="26">
        <v>354.0</v>
      </c>
      <c r="B28" s="27" t="str">
        <f>HYPERLINK("https://github.com/pytorch-fdn/ambassador-program/issues/354","https://github.com/pytorch-fdn/ambassador-program/issues/354")</f>
        <v>https://github.com/pytorch-fdn/ambassador-program/issues/354</v>
      </c>
      <c r="C28" s="26" t="s">
        <v>966</v>
      </c>
      <c r="D28" s="26" t="s">
        <v>968</v>
      </c>
      <c r="E28" s="26" t="s">
        <v>969</v>
      </c>
      <c r="F28" s="26" t="s">
        <v>261</v>
      </c>
      <c r="G28" s="26" t="s">
        <v>970</v>
      </c>
      <c r="H28" s="26" t="s">
        <v>103</v>
      </c>
      <c r="I28" s="26" t="s">
        <v>100</v>
      </c>
      <c r="J28" s="26" t="s">
        <v>973</v>
      </c>
      <c r="K28" s="26" t="s">
        <v>100</v>
      </c>
      <c r="L28" s="26" t="s">
        <v>100</v>
      </c>
      <c r="M28" s="26" t="s">
        <v>108</v>
      </c>
      <c r="N28" s="26" t="s">
        <v>100</v>
      </c>
      <c r="O28" s="26" t="s">
        <v>978</v>
      </c>
      <c r="P28" s="26" t="s">
        <v>980</v>
      </c>
      <c r="Q28" s="26" t="s">
        <v>984</v>
      </c>
      <c r="R28" s="26" t="s">
        <v>986</v>
      </c>
      <c r="S28" s="26" t="s">
        <v>987</v>
      </c>
      <c r="T28" s="26" t="s">
        <v>158</v>
      </c>
      <c r="U28" s="26" t="s">
        <v>989</v>
      </c>
      <c r="V28" s="26" t="s">
        <v>994</v>
      </c>
      <c r="W28" s="30"/>
      <c r="X28" s="30"/>
      <c r="Y28" s="30"/>
      <c r="Z28" s="30"/>
      <c r="AA28" s="30"/>
      <c r="AB28" s="30"/>
      <c r="AC28" s="30"/>
      <c r="AD28" s="30"/>
      <c r="AE28" s="28" t="str">
        <f t="shared" si="2"/>
        <v/>
      </c>
      <c r="AF28" s="31"/>
      <c r="AG28" s="31"/>
      <c r="AH28" s="29" t="str">
        <f t="shared" si="1"/>
        <v>Not Started</v>
      </c>
    </row>
    <row r="29" ht="408.75" customHeight="1">
      <c r="A29" s="32">
        <v>332.0</v>
      </c>
      <c r="B29" s="33" t="str">
        <f>HYPERLINK("https://github.com/pytorch-fdn/ambassador-program/issues/332","https://github.com/pytorch-fdn/ambassador-program/issues/332")</f>
        <v>https://github.com/pytorch-fdn/ambassador-program/issues/332</v>
      </c>
      <c r="C29" s="32" t="s">
        <v>1011</v>
      </c>
      <c r="D29" s="32" t="s">
        <v>1013</v>
      </c>
      <c r="E29" s="32" t="s">
        <v>369</v>
      </c>
      <c r="F29" s="32" t="s">
        <v>261</v>
      </c>
      <c r="G29" s="32" t="s">
        <v>1016</v>
      </c>
      <c r="H29" s="32" t="s">
        <v>98</v>
      </c>
      <c r="I29" s="32" t="s">
        <v>100</v>
      </c>
      <c r="J29" s="32" t="s">
        <v>1017</v>
      </c>
      <c r="K29" s="32" t="s">
        <v>1018</v>
      </c>
      <c r="L29" s="32" t="s">
        <v>1019</v>
      </c>
      <c r="M29" s="32" t="s">
        <v>779</v>
      </c>
      <c r="N29" s="32" t="s">
        <v>100</v>
      </c>
      <c r="O29" s="32" t="s">
        <v>134</v>
      </c>
      <c r="P29" s="32" t="s">
        <v>1024</v>
      </c>
      <c r="Q29" s="32" t="s">
        <v>1025</v>
      </c>
      <c r="R29" s="32" t="s">
        <v>1027</v>
      </c>
      <c r="S29" s="32" t="s">
        <v>144</v>
      </c>
      <c r="T29" s="32" t="s">
        <v>158</v>
      </c>
      <c r="U29" s="32" t="s">
        <v>401</v>
      </c>
      <c r="V29" s="32" t="s">
        <v>1029</v>
      </c>
      <c r="W29" s="30"/>
      <c r="X29" s="30"/>
      <c r="Y29" s="30"/>
      <c r="Z29" s="30"/>
      <c r="AA29" s="30"/>
      <c r="AB29" s="30"/>
      <c r="AC29" s="30"/>
      <c r="AD29" s="30"/>
      <c r="AE29" s="34" t="str">
        <f t="shared" si="2"/>
        <v/>
      </c>
      <c r="AF29" s="31"/>
      <c r="AG29" s="31"/>
      <c r="AH29" s="35" t="str">
        <f t="shared" si="1"/>
        <v>Not Started</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47</v>
      </c>
    </row>
    <row r="2" ht="27.75" customHeight="1">
      <c r="A2" s="2" t="s">
        <v>51</v>
      </c>
    </row>
    <row r="3">
      <c r="A3" s="14" t="s">
        <v>53</v>
      </c>
      <c r="W3" s="15" t="s">
        <v>54</v>
      </c>
    </row>
    <row r="4" ht="90.75"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6" t="s">
        <v>85</v>
      </c>
      <c r="AE4" s="19" t="s">
        <v>86</v>
      </c>
      <c r="AF4" s="16" t="s">
        <v>87</v>
      </c>
      <c r="AG4" s="16" t="s">
        <v>88</v>
      </c>
      <c r="AH4" s="19" t="s">
        <v>89</v>
      </c>
    </row>
    <row r="5" ht="264.0" customHeight="1">
      <c r="A5" s="20">
        <v>479.0</v>
      </c>
      <c r="B5" s="21" t="str">
        <f>HYPERLINK("https://github.com/pytorch-fdn/ambassador-program/issues/479","https://github.com/pytorch-fdn/ambassador-program/issues/479")</f>
        <v>https://github.com/pytorch-fdn/ambassador-program/issues/479</v>
      </c>
      <c r="C5" s="20" t="s">
        <v>91</v>
      </c>
      <c r="D5" s="20" t="s">
        <v>94</v>
      </c>
      <c r="E5" s="20" t="s">
        <v>96</v>
      </c>
      <c r="F5" s="20" t="s">
        <v>99</v>
      </c>
      <c r="G5" s="20" t="s">
        <v>102</v>
      </c>
      <c r="H5" s="20" t="s">
        <v>103</v>
      </c>
      <c r="I5" s="20" t="s">
        <v>105</v>
      </c>
      <c r="J5" s="20" t="s">
        <v>100</v>
      </c>
      <c r="K5" s="20" t="s">
        <v>100</v>
      </c>
      <c r="L5" s="20" t="s">
        <v>100</v>
      </c>
      <c r="M5" s="20" t="s">
        <v>108</v>
      </c>
      <c r="N5" s="20" t="s">
        <v>100</v>
      </c>
      <c r="O5" s="20" t="s">
        <v>109</v>
      </c>
      <c r="P5" s="20" t="s">
        <v>110</v>
      </c>
      <c r="Q5" s="20" t="s">
        <v>111</v>
      </c>
      <c r="R5" s="20" t="s">
        <v>113</v>
      </c>
      <c r="S5" s="20" t="s">
        <v>114</v>
      </c>
      <c r="T5" s="20" t="s">
        <v>115</v>
      </c>
      <c r="U5" s="20" t="s">
        <v>117</v>
      </c>
      <c r="V5" s="20" t="s">
        <v>118</v>
      </c>
      <c r="W5" s="22">
        <v>2.0</v>
      </c>
      <c r="X5" s="22">
        <v>2.0</v>
      </c>
      <c r="Y5" s="22">
        <v>2.0</v>
      </c>
      <c r="Z5" s="22">
        <v>2.0</v>
      </c>
      <c r="AA5" s="22">
        <v>3.0</v>
      </c>
      <c r="AB5" s="22">
        <v>3.0</v>
      </c>
      <c r="AC5" s="22">
        <v>2.0</v>
      </c>
      <c r="AD5" s="22">
        <v>2.0</v>
      </c>
      <c r="AE5" s="23">
        <f t="shared" ref="AE5:AE29" si="1">IF(COUNT(W5:AD5)=8,SUM(W5:AD5),"")</f>
        <v>18</v>
      </c>
      <c r="AF5" s="24" t="s">
        <v>124</v>
      </c>
      <c r="AG5" s="24" t="s">
        <v>125</v>
      </c>
      <c r="AH5" s="25" t="str">
        <f t="shared" ref="AH5:AH29" si="2">IF(AND(COUNT(W5:AD5)=0,AF5="",AG5=""),"Not Started",IF(AF5="Abstain (Conflict of Interest)",IF(AG5&lt;&gt;"","Reassignment Required","Add Conflict Note"),IF(AND(COUNT(W5:AD5)=8,AF5&lt;&gt;"",AG5&lt;&gt;""),"Complete","In Progress")))</f>
        <v>Complete</v>
      </c>
    </row>
    <row r="6" ht="372.0" customHeight="1">
      <c r="A6" s="26">
        <v>471.0</v>
      </c>
      <c r="B6" s="27" t="str">
        <f>HYPERLINK("https://github.com/pytorch-fdn/ambassador-program/issues/471","https://github.com/pytorch-fdn/ambassador-program/issues/471")</f>
        <v>https://github.com/pytorch-fdn/ambassador-program/issues/471</v>
      </c>
      <c r="C6" s="26" t="s">
        <v>127</v>
      </c>
      <c r="D6" s="26" t="s">
        <v>128</v>
      </c>
      <c r="E6" s="26" t="s">
        <v>129</v>
      </c>
      <c r="F6" s="26" t="s">
        <v>95</v>
      </c>
      <c r="G6" s="26" t="s">
        <v>130</v>
      </c>
      <c r="H6" s="26" t="s">
        <v>103</v>
      </c>
      <c r="I6" s="26" t="s">
        <v>100</v>
      </c>
      <c r="J6" s="26" t="s">
        <v>131</v>
      </c>
      <c r="K6" s="26" t="s">
        <v>100</v>
      </c>
      <c r="L6" s="26" t="s">
        <v>100</v>
      </c>
      <c r="M6" s="26" t="s">
        <v>132</v>
      </c>
      <c r="N6" s="26" t="s">
        <v>133</v>
      </c>
      <c r="O6" s="26" t="s">
        <v>134</v>
      </c>
      <c r="P6" s="26" t="s">
        <v>136</v>
      </c>
      <c r="Q6" s="26" t="s">
        <v>140</v>
      </c>
      <c r="R6" s="26" t="s">
        <v>142</v>
      </c>
      <c r="S6" s="26" t="s">
        <v>144</v>
      </c>
      <c r="T6" s="26" t="s">
        <v>115</v>
      </c>
      <c r="U6" s="26" t="s">
        <v>145</v>
      </c>
      <c r="V6" s="26" t="s">
        <v>146</v>
      </c>
      <c r="W6" s="22">
        <v>5.0</v>
      </c>
      <c r="X6" s="22">
        <v>5.0</v>
      </c>
      <c r="Y6" s="22">
        <v>5.0</v>
      </c>
      <c r="Z6" s="22">
        <v>5.0</v>
      </c>
      <c r="AA6" s="22">
        <v>4.0</v>
      </c>
      <c r="AB6" s="22">
        <v>5.0</v>
      </c>
      <c r="AC6" s="22">
        <v>5.0</v>
      </c>
      <c r="AD6" s="22">
        <v>5.0</v>
      </c>
      <c r="AE6" s="28">
        <f t="shared" si="1"/>
        <v>39</v>
      </c>
      <c r="AF6" s="24" t="s">
        <v>164</v>
      </c>
      <c r="AG6" s="24" t="s">
        <v>165</v>
      </c>
      <c r="AH6" s="29" t="str">
        <f t="shared" si="2"/>
        <v>Complete</v>
      </c>
    </row>
    <row r="7" ht="408.75" customHeight="1">
      <c r="A7" s="26">
        <v>469.0</v>
      </c>
      <c r="B7" s="27" t="str">
        <f>HYPERLINK("https://github.com/pytorch-fdn/ambassador-program/issues/469","https://github.com/pytorch-fdn/ambassador-program/issues/469")</f>
        <v>https://github.com/pytorch-fdn/ambassador-program/issues/469</v>
      </c>
      <c r="C7" s="26" t="s">
        <v>171</v>
      </c>
      <c r="D7" s="26" t="s">
        <v>172</v>
      </c>
      <c r="E7" s="26" t="s">
        <v>173</v>
      </c>
      <c r="F7" s="26" t="s">
        <v>175</v>
      </c>
      <c r="G7" s="26" t="s">
        <v>176</v>
      </c>
      <c r="H7" s="26" t="s">
        <v>103</v>
      </c>
      <c r="I7" s="26" t="s">
        <v>100</v>
      </c>
      <c r="J7" s="26" t="s">
        <v>177</v>
      </c>
      <c r="K7" s="26" t="s">
        <v>100</v>
      </c>
      <c r="L7" s="26" t="s">
        <v>100</v>
      </c>
      <c r="M7" s="26" t="s">
        <v>162</v>
      </c>
      <c r="N7" s="26" t="s">
        <v>100</v>
      </c>
      <c r="O7" s="26" t="s">
        <v>178</v>
      </c>
      <c r="P7" s="26" t="s">
        <v>179</v>
      </c>
      <c r="Q7" s="26" t="s">
        <v>182</v>
      </c>
      <c r="R7" s="26" t="s">
        <v>184</v>
      </c>
      <c r="S7" s="26" t="s">
        <v>186</v>
      </c>
      <c r="T7" s="26" t="s">
        <v>115</v>
      </c>
      <c r="U7" s="26" t="s">
        <v>145</v>
      </c>
      <c r="V7" s="26" t="s">
        <v>118</v>
      </c>
      <c r="W7" s="22">
        <v>2.0</v>
      </c>
      <c r="X7" s="22">
        <v>2.0</v>
      </c>
      <c r="Y7" s="22">
        <v>3.0</v>
      </c>
      <c r="Z7" s="22">
        <v>3.0</v>
      </c>
      <c r="AA7" s="22">
        <v>3.0</v>
      </c>
      <c r="AB7" s="22">
        <v>3.0</v>
      </c>
      <c r="AC7" s="22">
        <v>2.0</v>
      </c>
      <c r="AD7" s="22">
        <v>2.0</v>
      </c>
      <c r="AE7" s="28">
        <f t="shared" si="1"/>
        <v>20</v>
      </c>
      <c r="AF7" s="24" t="s">
        <v>124</v>
      </c>
      <c r="AG7" s="24" t="s">
        <v>199</v>
      </c>
      <c r="AH7" s="29" t="str">
        <f t="shared" si="2"/>
        <v>Complete</v>
      </c>
    </row>
    <row r="8" ht="408.75" customHeight="1">
      <c r="A8" s="26">
        <v>466.0</v>
      </c>
      <c r="B8" s="27" t="str">
        <f>HYPERLINK("https://github.com/pytorch-fdn/ambassador-program/issues/466","https://github.com/pytorch-fdn/ambassador-program/issues/466")</f>
        <v>https://github.com/pytorch-fdn/ambassador-program/issues/466</v>
      </c>
      <c r="C8" s="26" t="s">
        <v>206</v>
      </c>
      <c r="D8" s="26" t="s">
        <v>207</v>
      </c>
      <c r="E8" s="26" t="s">
        <v>208</v>
      </c>
      <c r="F8" s="26" t="s">
        <v>99</v>
      </c>
      <c r="G8" s="26" t="s">
        <v>209</v>
      </c>
      <c r="H8" s="26" t="s">
        <v>103</v>
      </c>
      <c r="I8" s="26" t="s">
        <v>100</v>
      </c>
      <c r="J8" s="26" t="s">
        <v>210</v>
      </c>
      <c r="K8" s="26" t="s">
        <v>211</v>
      </c>
      <c r="L8" s="26" t="s">
        <v>100</v>
      </c>
      <c r="M8" s="26" t="s">
        <v>162</v>
      </c>
      <c r="N8" s="26" t="s">
        <v>100</v>
      </c>
      <c r="O8" s="26" t="s">
        <v>212</v>
      </c>
      <c r="P8" s="26" t="s">
        <v>213</v>
      </c>
      <c r="Q8" s="26" t="s">
        <v>214</v>
      </c>
      <c r="R8" s="26" t="s">
        <v>215</v>
      </c>
      <c r="S8" s="26" t="s">
        <v>216</v>
      </c>
      <c r="T8" s="26" t="s">
        <v>115</v>
      </c>
      <c r="U8" s="26" t="s">
        <v>145</v>
      </c>
      <c r="V8" s="26" t="s">
        <v>118</v>
      </c>
      <c r="W8" s="22">
        <v>4.0</v>
      </c>
      <c r="X8" s="22">
        <v>4.0</v>
      </c>
      <c r="Y8" s="22">
        <v>4.0</v>
      </c>
      <c r="Z8" s="22">
        <v>4.0</v>
      </c>
      <c r="AA8" s="22">
        <v>4.0</v>
      </c>
      <c r="AB8" s="22">
        <v>4.0</v>
      </c>
      <c r="AC8" s="22">
        <v>5.0</v>
      </c>
      <c r="AD8" s="22">
        <v>4.0</v>
      </c>
      <c r="AE8" s="28">
        <f t="shared" si="1"/>
        <v>33</v>
      </c>
      <c r="AF8" s="24" t="s">
        <v>195</v>
      </c>
      <c r="AG8" s="24" t="s">
        <v>218</v>
      </c>
      <c r="AH8" s="29" t="str">
        <f t="shared" si="2"/>
        <v>Complete</v>
      </c>
    </row>
    <row r="9" ht="360.0" customHeight="1">
      <c r="A9" s="26">
        <v>462.0</v>
      </c>
      <c r="B9" s="27" t="str">
        <f>HYPERLINK("https://github.com/pytorch-fdn/ambassador-program/issues/462","https://github.com/pytorch-fdn/ambassador-program/issues/462")</f>
        <v>https://github.com/pytorch-fdn/ambassador-program/issues/462</v>
      </c>
      <c r="C9" s="26" t="s">
        <v>225</v>
      </c>
      <c r="D9" s="26" t="s">
        <v>227</v>
      </c>
      <c r="E9" s="26" t="s">
        <v>228</v>
      </c>
      <c r="F9" s="26" t="s">
        <v>99</v>
      </c>
      <c r="G9" s="26" t="s">
        <v>231</v>
      </c>
      <c r="H9" s="26" t="s">
        <v>103</v>
      </c>
      <c r="I9" s="26" t="s">
        <v>100</v>
      </c>
      <c r="J9" s="26" t="s">
        <v>233</v>
      </c>
      <c r="K9" s="26" t="s">
        <v>234</v>
      </c>
      <c r="L9" s="26" t="s">
        <v>100</v>
      </c>
      <c r="M9" s="26" t="s">
        <v>108</v>
      </c>
      <c r="N9" s="26" t="s">
        <v>100</v>
      </c>
      <c r="O9" s="26" t="s">
        <v>238</v>
      </c>
      <c r="P9" s="26" t="s">
        <v>241</v>
      </c>
      <c r="Q9" s="26" t="s">
        <v>243</v>
      </c>
      <c r="R9" s="26" t="s">
        <v>245</v>
      </c>
      <c r="S9" s="26" t="s">
        <v>246</v>
      </c>
      <c r="T9" s="26" t="s">
        <v>115</v>
      </c>
      <c r="U9" s="26" t="s">
        <v>247</v>
      </c>
      <c r="V9" s="26" t="s">
        <v>248</v>
      </c>
      <c r="W9" s="22">
        <v>2.0</v>
      </c>
      <c r="X9" s="22">
        <v>2.0</v>
      </c>
      <c r="Y9" s="22">
        <v>2.0</v>
      </c>
      <c r="Z9" s="22">
        <v>3.0</v>
      </c>
      <c r="AA9" s="22">
        <v>3.0</v>
      </c>
      <c r="AB9" s="22">
        <v>3.0</v>
      </c>
      <c r="AC9" s="22">
        <v>3.0</v>
      </c>
      <c r="AD9" s="22">
        <v>2.0</v>
      </c>
      <c r="AE9" s="28">
        <f t="shared" si="1"/>
        <v>20</v>
      </c>
      <c r="AF9" s="24" t="s">
        <v>124</v>
      </c>
      <c r="AG9" s="24" t="s">
        <v>250</v>
      </c>
      <c r="AH9" s="29" t="str">
        <f t="shared" si="2"/>
        <v>Complete</v>
      </c>
    </row>
    <row r="10" ht="408.75" customHeight="1">
      <c r="A10" s="26">
        <v>459.0</v>
      </c>
      <c r="B10" s="27" t="str">
        <f>HYPERLINK("https://github.com/pytorch-fdn/ambassador-program/issues/459","https://github.com/pytorch-fdn/ambassador-program/issues/459")</f>
        <v>https://github.com/pytorch-fdn/ambassador-program/issues/459</v>
      </c>
      <c r="C10" s="26" t="s">
        <v>257</v>
      </c>
      <c r="D10" s="26" t="s">
        <v>259</v>
      </c>
      <c r="E10" s="26" t="s">
        <v>262</v>
      </c>
      <c r="F10" s="26" t="s">
        <v>95</v>
      </c>
      <c r="G10" s="26" t="s">
        <v>265</v>
      </c>
      <c r="H10" s="26" t="s">
        <v>98</v>
      </c>
      <c r="I10" s="26" t="s">
        <v>100</v>
      </c>
      <c r="J10" s="26" t="s">
        <v>268</v>
      </c>
      <c r="K10" s="26" t="s">
        <v>100</v>
      </c>
      <c r="L10" s="26" t="s">
        <v>270</v>
      </c>
      <c r="M10" s="26" t="s">
        <v>273</v>
      </c>
      <c r="N10" s="26" t="s">
        <v>100</v>
      </c>
      <c r="O10" s="26" t="s">
        <v>107</v>
      </c>
      <c r="P10" s="26" t="s">
        <v>281</v>
      </c>
      <c r="Q10" s="26" t="s">
        <v>282</v>
      </c>
      <c r="R10" s="26" t="s">
        <v>283</v>
      </c>
      <c r="S10" s="26" t="s">
        <v>144</v>
      </c>
      <c r="T10" s="26" t="s">
        <v>115</v>
      </c>
      <c r="U10" s="26" t="s">
        <v>262</v>
      </c>
      <c r="V10" s="26" t="s">
        <v>286</v>
      </c>
      <c r="W10" s="22">
        <v>1.0</v>
      </c>
      <c r="X10" s="22">
        <v>1.0</v>
      </c>
      <c r="Y10" s="22">
        <v>1.0</v>
      </c>
      <c r="Z10" s="22">
        <v>1.0</v>
      </c>
      <c r="AA10" s="22">
        <v>1.0</v>
      </c>
      <c r="AB10" s="22">
        <v>1.0</v>
      </c>
      <c r="AC10" s="22">
        <v>1.0</v>
      </c>
      <c r="AD10" s="22">
        <v>1.0</v>
      </c>
      <c r="AE10" s="28">
        <f t="shared" si="1"/>
        <v>8</v>
      </c>
      <c r="AF10" s="24" t="s">
        <v>124</v>
      </c>
      <c r="AG10" s="24" t="s">
        <v>299</v>
      </c>
      <c r="AH10" s="29" t="str">
        <f t="shared" si="2"/>
        <v>Complete</v>
      </c>
    </row>
    <row r="11" ht="408.75" customHeight="1">
      <c r="A11" s="26">
        <v>457.0</v>
      </c>
      <c r="B11" s="27" t="str">
        <f>HYPERLINK("https://github.com/pytorch-fdn/ambassador-program/issues/457","https://github.com/pytorch-fdn/ambassador-program/issues/457")</f>
        <v>https://github.com/pytorch-fdn/ambassador-program/issues/457</v>
      </c>
      <c r="C11" s="26" t="s">
        <v>305</v>
      </c>
      <c r="D11" s="26" t="s">
        <v>306</v>
      </c>
      <c r="E11" s="26" t="s">
        <v>307</v>
      </c>
      <c r="F11" s="26" t="s">
        <v>261</v>
      </c>
      <c r="G11" s="26" t="s">
        <v>308</v>
      </c>
      <c r="H11" s="26" t="s">
        <v>103</v>
      </c>
      <c r="I11" s="26" t="s">
        <v>100</v>
      </c>
      <c r="J11" s="26" t="s">
        <v>309</v>
      </c>
      <c r="K11" s="26" t="s">
        <v>310</v>
      </c>
      <c r="L11" s="26" t="s">
        <v>100</v>
      </c>
      <c r="M11" s="26" t="s">
        <v>108</v>
      </c>
      <c r="N11" s="26" t="s">
        <v>100</v>
      </c>
      <c r="O11" s="26" t="s">
        <v>134</v>
      </c>
      <c r="P11" s="26" t="s">
        <v>313</v>
      </c>
      <c r="Q11" s="26" t="s">
        <v>318</v>
      </c>
      <c r="R11" s="26" t="s">
        <v>323</v>
      </c>
      <c r="S11" s="26" t="s">
        <v>144</v>
      </c>
      <c r="T11" s="26" t="s">
        <v>158</v>
      </c>
      <c r="U11" s="26" t="s">
        <v>329</v>
      </c>
      <c r="V11" s="26" t="s">
        <v>340</v>
      </c>
      <c r="W11" s="22">
        <v>3.0</v>
      </c>
      <c r="X11" s="22">
        <v>3.0</v>
      </c>
      <c r="Y11" s="22">
        <v>3.0</v>
      </c>
      <c r="Z11" s="22">
        <v>3.0</v>
      </c>
      <c r="AA11" s="22">
        <v>4.0</v>
      </c>
      <c r="AB11" s="22">
        <v>4.0</v>
      </c>
      <c r="AC11" s="22">
        <v>3.0</v>
      </c>
      <c r="AD11" s="22">
        <v>3.0</v>
      </c>
      <c r="AE11" s="28">
        <f t="shared" si="1"/>
        <v>26</v>
      </c>
      <c r="AF11" s="24" t="s">
        <v>303</v>
      </c>
      <c r="AG11" s="24" t="s">
        <v>354</v>
      </c>
      <c r="AH11" s="29" t="str">
        <f t="shared" si="2"/>
        <v>Complete</v>
      </c>
    </row>
    <row r="12" ht="132.0" customHeight="1">
      <c r="A12" s="26">
        <v>450.0</v>
      </c>
      <c r="B12" s="27" t="str">
        <f>HYPERLINK("https://github.com/pytorch-fdn/ambassador-program/issues/450","https://github.com/pytorch-fdn/ambassador-program/issues/450")</f>
        <v>https://github.com/pytorch-fdn/ambassador-program/issues/450</v>
      </c>
      <c r="C12" s="26" t="s">
        <v>365</v>
      </c>
      <c r="D12" s="26" t="s">
        <v>367</v>
      </c>
      <c r="E12" s="26" t="s">
        <v>369</v>
      </c>
      <c r="F12" s="26" t="s">
        <v>261</v>
      </c>
      <c r="G12" s="26" t="s">
        <v>374</v>
      </c>
      <c r="H12" s="26" t="s">
        <v>103</v>
      </c>
      <c r="I12" s="26" t="s">
        <v>100</v>
      </c>
      <c r="J12" s="26" t="s">
        <v>381</v>
      </c>
      <c r="K12" s="26" t="s">
        <v>100</v>
      </c>
      <c r="L12" s="26" t="s">
        <v>100</v>
      </c>
      <c r="M12" s="26" t="s">
        <v>108</v>
      </c>
      <c r="N12" s="26" t="s">
        <v>100</v>
      </c>
      <c r="O12" s="26" t="s">
        <v>392</v>
      </c>
      <c r="P12" s="26" t="s">
        <v>394</v>
      </c>
      <c r="Q12" s="26" t="s">
        <v>396</v>
      </c>
      <c r="R12" s="26" t="s">
        <v>397</v>
      </c>
      <c r="S12" s="26" t="s">
        <v>399</v>
      </c>
      <c r="T12" s="26" t="s">
        <v>158</v>
      </c>
      <c r="U12" s="26" t="s">
        <v>401</v>
      </c>
      <c r="V12" s="26" t="s">
        <v>118</v>
      </c>
      <c r="W12" s="22">
        <v>2.0</v>
      </c>
      <c r="X12" s="22">
        <v>2.0</v>
      </c>
      <c r="Y12" s="22">
        <v>3.0</v>
      </c>
      <c r="Z12" s="22">
        <v>3.0</v>
      </c>
      <c r="AA12" s="22">
        <v>2.0</v>
      </c>
      <c r="AB12" s="22">
        <v>3.0</v>
      </c>
      <c r="AC12" s="22">
        <v>2.0</v>
      </c>
      <c r="AD12" s="22">
        <v>2.0</v>
      </c>
      <c r="AE12" s="28">
        <f t="shared" si="1"/>
        <v>19</v>
      </c>
      <c r="AF12" s="24" t="s">
        <v>124</v>
      </c>
      <c r="AG12" s="24" t="s">
        <v>406</v>
      </c>
      <c r="AH12" s="29" t="str">
        <f t="shared" si="2"/>
        <v>Complete</v>
      </c>
    </row>
    <row r="13" ht="312.0" customHeight="1">
      <c r="A13" s="26">
        <v>444.0</v>
      </c>
      <c r="B13" s="27" t="str">
        <f>HYPERLINK("https://github.com/pytorch-fdn/ambassador-program/issues/444","https://github.com/pytorch-fdn/ambassador-program/issues/444")</f>
        <v>https://github.com/pytorch-fdn/ambassador-program/issues/444</v>
      </c>
      <c r="C13" s="26" t="s">
        <v>417</v>
      </c>
      <c r="D13" s="26" t="s">
        <v>419</v>
      </c>
      <c r="E13" s="26" t="s">
        <v>421</v>
      </c>
      <c r="F13" s="26" t="s">
        <v>175</v>
      </c>
      <c r="G13" s="26" t="s">
        <v>423</v>
      </c>
      <c r="H13" s="26" t="s">
        <v>103</v>
      </c>
      <c r="I13" s="26" t="s">
        <v>100</v>
      </c>
      <c r="J13" s="26" t="s">
        <v>424</v>
      </c>
      <c r="K13" s="26" t="s">
        <v>100</v>
      </c>
      <c r="L13" s="26" t="s">
        <v>100</v>
      </c>
      <c r="M13" s="26" t="s">
        <v>108</v>
      </c>
      <c r="N13" s="26" t="s">
        <v>100</v>
      </c>
      <c r="O13" s="26" t="s">
        <v>426</v>
      </c>
      <c r="P13" s="26" t="s">
        <v>427</v>
      </c>
      <c r="Q13" s="26" t="s">
        <v>429</v>
      </c>
      <c r="R13" s="26" t="s">
        <v>433</v>
      </c>
      <c r="S13" s="26" t="s">
        <v>435</v>
      </c>
      <c r="T13" s="26" t="s">
        <v>115</v>
      </c>
      <c r="U13" s="26" t="s">
        <v>145</v>
      </c>
      <c r="V13" s="26" t="s">
        <v>436</v>
      </c>
      <c r="W13" s="22">
        <v>3.0</v>
      </c>
      <c r="X13" s="22">
        <v>3.0</v>
      </c>
      <c r="Y13" s="22">
        <v>2.0</v>
      </c>
      <c r="Z13" s="22">
        <v>2.0</v>
      </c>
      <c r="AA13" s="22">
        <v>4.0</v>
      </c>
      <c r="AB13" s="22">
        <v>4.0</v>
      </c>
      <c r="AC13" s="22">
        <v>3.0</v>
      </c>
      <c r="AD13" s="22">
        <v>3.0</v>
      </c>
      <c r="AE13" s="28">
        <f t="shared" si="1"/>
        <v>24</v>
      </c>
      <c r="AF13" s="24" t="s">
        <v>303</v>
      </c>
      <c r="AG13" s="24" t="s">
        <v>451</v>
      </c>
      <c r="AH13" s="29" t="str">
        <f t="shared" si="2"/>
        <v>Complete</v>
      </c>
    </row>
    <row r="14" ht="396.0" customHeight="1">
      <c r="A14" s="26">
        <v>442.0</v>
      </c>
      <c r="B14" s="27" t="str">
        <f>HYPERLINK("https://github.com/pytorch-fdn/ambassador-program/issues/442","https://github.com/pytorch-fdn/ambassador-program/issues/442")</f>
        <v>https://github.com/pytorch-fdn/ambassador-program/issues/442</v>
      </c>
      <c r="C14" s="26" t="s">
        <v>455</v>
      </c>
      <c r="D14" s="26" t="s">
        <v>456</v>
      </c>
      <c r="E14" s="26" t="s">
        <v>457</v>
      </c>
      <c r="F14" s="26" t="s">
        <v>175</v>
      </c>
      <c r="G14" s="26" t="s">
        <v>458</v>
      </c>
      <c r="H14" s="26" t="s">
        <v>103</v>
      </c>
      <c r="I14" s="26" t="s">
        <v>100</v>
      </c>
      <c r="J14" s="26" t="s">
        <v>459</v>
      </c>
      <c r="K14" s="26" t="s">
        <v>100</v>
      </c>
      <c r="L14" s="26" t="s">
        <v>100</v>
      </c>
      <c r="M14" s="26" t="s">
        <v>162</v>
      </c>
      <c r="N14" s="26" t="s">
        <v>100</v>
      </c>
      <c r="O14" s="26" t="s">
        <v>460</v>
      </c>
      <c r="P14" s="26" t="s">
        <v>462</v>
      </c>
      <c r="Q14" s="26" t="s">
        <v>464</v>
      </c>
      <c r="R14" s="26" t="s">
        <v>465</v>
      </c>
      <c r="S14" s="26" t="s">
        <v>346</v>
      </c>
      <c r="T14" s="26" t="s">
        <v>115</v>
      </c>
      <c r="U14" s="26" t="s">
        <v>145</v>
      </c>
      <c r="V14" s="26" t="s">
        <v>118</v>
      </c>
      <c r="W14" s="22">
        <v>3.0</v>
      </c>
      <c r="X14" s="22">
        <v>4.0</v>
      </c>
      <c r="Y14" s="22">
        <v>4.0</v>
      </c>
      <c r="Z14" s="22">
        <v>4.0</v>
      </c>
      <c r="AA14" s="22">
        <v>4.0</v>
      </c>
      <c r="AB14" s="22">
        <v>4.0</v>
      </c>
      <c r="AC14" s="22">
        <v>4.0</v>
      </c>
      <c r="AD14" s="22">
        <v>4.0</v>
      </c>
      <c r="AE14" s="28">
        <f t="shared" si="1"/>
        <v>31</v>
      </c>
      <c r="AF14" s="24" t="s">
        <v>195</v>
      </c>
      <c r="AG14" s="24" t="s">
        <v>483</v>
      </c>
      <c r="AH14" s="29" t="str">
        <f t="shared" si="2"/>
        <v>Complete</v>
      </c>
    </row>
    <row r="15" ht="408.75" customHeight="1">
      <c r="A15" s="26">
        <v>441.0</v>
      </c>
      <c r="B15" s="27" t="str">
        <f>HYPERLINK("https://github.com/pytorch-fdn/ambassador-program/issues/441","https://github.com/pytorch-fdn/ambassador-program/issues/441")</f>
        <v>https://github.com/pytorch-fdn/ambassador-program/issues/441</v>
      </c>
      <c r="C15" s="26" t="s">
        <v>492</v>
      </c>
      <c r="D15" s="26" t="s">
        <v>493</v>
      </c>
      <c r="E15" s="26" t="s">
        <v>494</v>
      </c>
      <c r="F15" s="26" t="s">
        <v>95</v>
      </c>
      <c r="G15" s="26" t="s">
        <v>495</v>
      </c>
      <c r="H15" s="26" t="s">
        <v>103</v>
      </c>
      <c r="I15" s="26" t="s">
        <v>100</v>
      </c>
      <c r="J15" s="26" t="s">
        <v>497</v>
      </c>
      <c r="K15" s="26" t="s">
        <v>498</v>
      </c>
      <c r="L15" s="26" t="s">
        <v>100</v>
      </c>
      <c r="M15" s="26" t="s">
        <v>500</v>
      </c>
      <c r="N15" s="26" t="s">
        <v>100</v>
      </c>
      <c r="O15" s="26" t="s">
        <v>107</v>
      </c>
      <c r="P15" s="26" t="s">
        <v>507</v>
      </c>
      <c r="Q15" s="26" t="s">
        <v>511</v>
      </c>
      <c r="R15" s="26" t="s">
        <v>514</v>
      </c>
      <c r="S15" s="26" t="s">
        <v>169</v>
      </c>
      <c r="T15" s="26" t="s">
        <v>158</v>
      </c>
      <c r="U15" s="26" t="s">
        <v>401</v>
      </c>
      <c r="V15" s="26" t="s">
        <v>520</v>
      </c>
      <c r="W15" s="22">
        <v>2.0</v>
      </c>
      <c r="X15" s="22">
        <v>3.0</v>
      </c>
      <c r="Y15" s="22">
        <v>4.0</v>
      </c>
      <c r="Z15" s="22">
        <v>4.0</v>
      </c>
      <c r="AA15" s="22">
        <v>4.0</v>
      </c>
      <c r="AB15" s="22">
        <v>4.0</v>
      </c>
      <c r="AC15" s="22">
        <v>4.0</v>
      </c>
      <c r="AD15" s="22">
        <v>3.0</v>
      </c>
      <c r="AE15" s="28">
        <f t="shared" si="1"/>
        <v>28</v>
      </c>
      <c r="AF15" s="24" t="s">
        <v>303</v>
      </c>
      <c r="AG15" s="24" t="s">
        <v>527</v>
      </c>
      <c r="AH15" s="29" t="str">
        <f t="shared" si="2"/>
        <v>Complete</v>
      </c>
    </row>
    <row r="16" ht="288.0" customHeight="1">
      <c r="A16" s="26">
        <v>438.0</v>
      </c>
      <c r="B16" s="27" t="str">
        <f>HYPERLINK("https://github.com/pytorch-fdn/ambassador-program/issues/438","https://github.com/pytorch-fdn/ambassador-program/issues/438")</f>
        <v>https://github.com/pytorch-fdn/ambassador-program/issues/438</v>
      </c>
      <c r="C16" s="26" t="s">
        <v>540</v>
      </c>
      <c r="D16" s="26" t="s">
        <v>542</v>
      </c>
      <c r="E16" s="26" t="s">
        <v>544</v>
      </c>
      <c r="F16" s="26" t="s">
        <v>95</v>
      </c>
      <c r="G16" s="26" t="s">
        <v>548</v>
      </c>
      <c r="H16" s="26" t="s">
        <v>103</v>
      </c>
      <c r="I16" s="26" t="s">
        <v>100</v>
      </c>
      <c r="J16" s="26" t="s">
        <v>553</v>
      </c>
      <c r="K16" s="26" t="s">
        <v>554</v>
      </c>
      <c r="L16" s="26" t="s">
        <v>100</v>
      </c>
      <c r="M16" s="26" t="s">
        <v>555</v>
      </c>
      <c r="N16" s="26" t="s">
        <v>100</v>
      </c>
      <c r="O16" s="26" t="s">
        <v>556</v>
      </c>
      <c r="P16" s="26" t="s">
        <v>558</v>
      </c>
      <c r="Q16" s="26" t="s">
        <v>561</v>
      </c>
      <c r="R16" s="26" t="s">
        <v>562</v>
      </c>
      <c r="S16" s="26" t="s">
        <v>564</v>
      </c>
      <c r="T16" s="26" t="s">
        <v>551</v>
      </c>
      <c r="U16" s="26" t="s">
        <v>565</v>
      </c>
      <c r="V16" s="26" t="s">
        <v>567</v>
      </c>
      <c r="W16" s="22">
        <v>4.0</v>
      </c>
      <c r="X16" s="22">
        <v>5.0</v>
      </c>
      <c r="Y16" s="22">
        <v>5.0</v>
      </c>
      <c r="Z16" s="22">
        <v>5.0</v>
      </c>
      <c r="AA16" s="22">
        <v>4.0</v>
      </c>
      <c r="AB16" s="22">
        <v>4.0</v>
      </c>
      <c r="AC16" s="22">
        <v>4.0</v>
      </c>
      <c r="AD16" s="22">
        <v>4.0</v>
      </c>
      <c r="AE16" s="28">
        <f t="shared" si="1"/>
        <v>35</v>
      </c>
      <c r="AF16" s="24" t="s">
        <v>195</v>
      </c>
      <c r="AG16" s="24" t="s">
        <v>584</v>
      </c>
      <c r="AH16" s="29" t="str">
        <f t="shared" si="2"/>
        <v>Complete</v>
      </c>
    </row>
    <row r="17" ht="408.75" customHeight="1">
      <c r="A17" s="26">
        <v>424.0</v>
      </c>
      <c r="B17" s="27" t="str">
        <f>HYPERLINK("https://github.com/pytorch-fdn/ambassador-program/issues/424","https://github.com/pytorch-fdn/ambassador-program/issues/424")</f>
        <v>https://github.com/pytorch-fdn/ambassador-program/issues/424</v>
      </c>
      <c r="C17" s="26" t="s">
        <v>596</v>
      </c>
      <c r="D17" s="26" t="s">
        <v>597</v>
      </c>
      <c r="E17" s="26" t="s">
        <v>598</v>
      </c>
      <c r="F17" s="26" t="s">
        <v>175</v>
      </c>
      <c r="G17" s="26" t="s">
        <v>600</v>
      </c>
      <c r="H17" s="26" t="s">
        <v>103</v>
      </c>
      <c r="I17" s="26" t="s">
        <v>100</v>
      </c>
      <c r="J17" s="26" t="s">
        <v>603</v>
      </c>
      <c r="K17" s="26" t="s">
        <v>605</v>
      </c>
      <c r="L17" s="26" t="s">
        <v>100</v>
      </c>
      <c r="M17" s="26" t="s">
        <v>391</v>
      </c>
      <c r="N17" s="26" t="s">
        <v>100</v>
      </c>
      <c r="O17" s="26" t="s">
        <v>134</v>
      </c>
      <c r="P17" s="26" t="s">
        <v>609</v>
      </c>
      <c r="Q17" s="26" t="s">
        <v>612</v>
      </c>
      <c r="R17" s="26" t="s">
        <v>618</v>
      </c>
      <c r="S17" s="26" t="s">
        <v>144</v>
      </c>
      <c r="T17" s="26" t="s">
        <v>115</v>
      </c>
      <c r="U17" s="26" t="s">
        <v>145</v>
      </c>
      <c r="V17" s="26" t="s">
        <v>118</v>
      </c>
      <c r="W17" s="22">
        <v>2.0</v>
      </c>
      <c r="X17" s="22">
        <v>2.0</v>
      </c>
      <c r="Y17" s="22">
        <v>2.0</v>
      </c>
      <c r="Z17" s="22">
        <v>2.0</v>
      </c>
      <c r="AA17" s="22">
        <v>3.0</v>
      </c>
      <c r="AB17" s="22">
        <v>3.0</v>
      </c>
      <c r="AC17" s="22">
        <v>2.0</v>
      </c>
      <c r="AD17" s="22">
        <v>2.0</v>
      </c>
      <c r="AE17" s="28">
        <f t="shared" si="1"/>
        <v>18</v>
      </c>
      <c r="AF17" s="24" t="s">
        <v>124</v>
      </c>
      <c r="AG17" s="24" t="s">
        <v>626</v>
      </c>
      <c r="AH17" s="29" t="str">
        <f t="shared" si="2"/>
        <v>Complete</v>
      </c>
    </row>
    <row r="18" ht="408.75" customHeight="1">
      <c r="A18" s="26">
        <v>423.0</v>
      </c>
      <c r="B18" s="27" t="str">
        <f>HYPERLINK("https://github.com/pytorch-fdn/ambassador-program/issues/423","https://github.com/pytorch-fdn/ambassador-program/issues/423")</f>
        <v>https://github.com/pytorch-fdn/ambassador-program/issues/423</v>
      </c>
      <c r="C18" s="26" t="s">
        <v>557</v>
      </c>
      <c r="D18" s="26" t="s">
        <v>559</v>
      </c>
      <c r="E18" s="26" t="s">
        <v>560</v>
      </c>
      <c r="F18" s="26" t="s">
        <v>175</v>
      </c>
      <c r="G18" s="26" t="s">
        <v>563</v>
      </c>
      <c r="H18" s="26" t="s">
        <v>103</v>
      </c>
      <c r="I18" s="26" t="s">
        <v>100</v>
      </c>
      <c r="J18" s="26" t="s">
        <v>566</v>
      </c>
      <c r="K18" s="26" t="s">
        <v>100</v>
      </c>
      <c r="L18" s="26" t="s">
        <v>100</v>
      </c>
      <c r="M18" s="26" t="s">
        <v>162</v>
      </c>
      <c r="N18" s="26" t="s">
        <v>568</v>
      </c>
      <c r="O18" s="26" t="s">
        <v>571</v>
      </c>
      <c r="P18" s="26" t="s">
        <v>575</v>
      </c>
      <c r="Q18" s="26" t="s">
        <v>578</v>
      </c>
      <c r="R18" s="26" t="s">
        <v>581</v>
      </c>
      <c r="S18" s="26" t="s">
        <v>120</v>
      </c>
      <c r="T18" s="26" t="s">
        <v>115</v>
      </c>
      <c r="U18" s="26" t="s">
        <v>247</v>
      </c>
      <c r="V18" s="26" t="s">
        <v>586</v>
      </c>
      <c r="W18" s="22">
        <v>3.0</v>
      </c>
      <c r="X18" s="22">
        <v>3.0</v>
      </c>
      <c r="Y18" s="22">
        <v>4.0</v>
      </c>
      <c r="Z18" s="22">
        <v>4.0</v>
      </c>
      <c r="AA18" s="22">
        <v>4.0</v>
      </c>
      <c r="AB18" s="22">
        <v>4.0</v>
      </c>
      <c r="AC18" s="22">
        <v>3.0</v>
      </c>
      <c r="AD18" s="22">
        <v>3.0</v>
      </c>
      <c r="AE18" s="28">
        <f t="shared" si="1"/>
        <v>28</v>
      </c>
      <c r="AF18" s="24" t="s">
        <v>195</v>
      </c>
      <c r="AG18" s="24" t="s">
        <v>660</v>
      </c>
      <c r="AH18" s="29" t="str">
        <f t="shared" si="2"/>
        <v>Complete</v>
      </c>
    </row>
    <row r="19" ht="408.75" customHeight="1">
      <c r="A19" s="26">
        <v>422.0</v>
      </c>
      <c r="B19" s="27" t="str">
        <f>HYPERLINK("https://github.com/pytorch-fdn/ambassador-program/issues/422","https://github.com/pytorch-fdn/ambassador-program/issues/422")</f>
        <v>https://github.com/pytorch-fdn/ambassador-program/issues/422</v>
      </c>
      <c r="C19" s="26" t="s">
        <v>672</v>
      </c>
      <c r="D19" s="26" t="s">
        <v>673</v>
      </c>
      <c r="E19" s="26" t="s">
        <v>675</v>
      </c>
      <c r="F19" s="26" t="s">
        <v>99</v>
      </c>
      <c r="G19" s="26" t="s">
        <v>677</v>
      </c>
      <c r="H19" s="26" t="s">
        <v>103</v>
      </c>
      <c r="I19" s="26" t="s">
        <v>100</v>
      </c>
      <c r="J19" s="26" t="s">
        <v>678</v>
      </c>
      <c r="K19" s="26" t="s">
        <v>679</v>
      </c>
      <c r="L19" s="26" t="s">
        <v>100</v>
      </c>
      <c r="M19" s="26" t="s">
        <v>108</v>
      </c>
      <c r="N19" s="26" t="s">
        <v>100</v>
      </c>
      <c r="O19" s="26" t="s">
        <v>680</v>
      </c>
      <c r="P19" s="26" t="s">
        <v>681</v>
      </c>
      <c r="Q19" s="26" t="s">
        <v>682</v>
      </c>
      <c r="R19" s="26" t="s">
        <v>683</v>
      </c>
      <c r="S19" s="26" t="s">
        <v>684</v>
      </c>
      <c r="T19" s="26" t="s">
        <v>115</v>
      </c>
      <c r="U19" s="26" t="s">
        <v>685</v>
      </c>
      <c r="V19" s="26" t="s">
        <v>118</v>
      </c>
      <c r="W19" s="22">
        <v>1.0</v>
      </c>
      <c r="X19" s="22">
        <v>1.0</v>
      </c>
      <c r="Y19" s="22">
        <v>2.0</v>
      </c>
      <c r="Z19" s="22">
        <v>2.0</v>
      </c>
      <c r="AA19" s="22">
        <v>3.0</v>
      </c>
      <c r="AB19" s="22">
        <v>3.0</v>
      </c>
      <c r="AC19" s="22">
        <v>2.0</v>
      </c>
      <c r="AD19" s="22">
        <v>2.0</v>
      </c>
      <c r="AE19" s="28">
        <f t="shared" si="1"/>
        <v>16</v>
      </c>
      <c r="AF19" s="24" t="s">
        <v>124</v>
      </c>
      <c r="AG19" s="24" t="s">
        <v>700</v>
      </c>
      <c r="AH19" s="29" t="str">
        <f t="shared" si="2"/>
        <v>Complete</v>
      </c>
    </row>
    <row r="20" ht="126.0" customHeight="1">
      <c r="A20" s="26">
        <v>404.0</v>
      </c>
      <c r="B20" s="27" t="str">
        <f>HYPERLINK("https://github.com/pytorch-fdn/ambassador-program/issues/404","https://github.com/pytorch-fdn/ambassador-program/issues/404")</f>
        <v>https://github.com/pytorch-fdn/ambassador-program/issues/404</v>
      </c>
      <c r="C20" s="26" t="s">
        <v>711</v>
      </c>
      <c r="D20" s="26" t="s">
        <v>712</v>
      </c>
      <c r="E20" s="26" t="s">
        <v>713</v>
      </c>
      <c r="F20" s="26" t="s">
        <v>99</v>
      </c>
      <c r="G20" s="26" t="s">
        <v>100</v>
      </c>
      <c r="H20" s="26" t="s">
        <v>103</v>
      </c>
      <c r="I20" s="26" t="s">
        <v>100</v>
      </c>
      <c r="J20" s="26" t="s">
        <v>100</v>
      </c>
      <c r="K20" s="26" t="s">
        <v>714</v>
      </c>
      <c r="L20" s="26" t="s">
        <v>100</v>
      </c>
      <c r="M20" s="26" t="s">
        <v>715</v>
      </c>
      <c r="N20" s="26" t="s">
        <v>100</v>
      </c>
      <c r="O20" s="26" t="s">
        <v>716</v>
      </c>
      <c r="P20" s="26" t="s">
        <v>717</v>
      </c>
      <c r="Q20" s="26" t="s">
        <v>719</v>
      </c>
      <c r="R20" s="26" t="s">
        <v>720</v>
      </c>
      <c r="S20" s="26" t="s">
        <v>722</v>
      </c>
      <c r="T20" s="26" t="s">
        <v>158</v>
      </c>
      <c r="U20" s="26" t="s">
        <v>724</v>
      </c>
      <c r="V20" s="26" t="s">
        <v>118</v>
      </c>
      <c r="W20" s="22">
        <v>1.0</v>
      </c>
      <c r="X20" s="22">
        <v>1.0</v>
      </c>
      <c r="Y20" s="22">
        <v>1.0</v>
      </c>
      <c r="Z20" s="22">
        <v>1.0</v>
      </c>
      <c r="AA20" s="22">
        <v>1.0</v>
      </c>
      <c r="AB20" s="22">
        <v>2.0</v>
      </c>
      <c r="AC20" s="22">
        <v>1.0</v>
      </c>
      <c r="AD20" s="22">
        <v>1.0</v>
      </c>
      <c r="AE20" s="28">
        <f t="shared" si="1"/>
        <v>9</v>
      </c>
      <c r="AF20" s="24" t="s">
        <v>124</v>
      </c>
      <c r="AG20" s="24" t="s">
        <v>737</v>
      </c>
      <c r="AH20" s="29" t="str">
        <f t="shared" si="2"/>
        <v>Complete</v>
      </c>
    </row>
    <row r="21" ht="288.0" customHeight="1">
      <c r="A21" s="26">
        <v>394.0</v>
      </c>
      <c r="B21" s="27" t="str">
        <f>HYPERLINK("https://github.com/pytorch-fdn/ambassador-program/issues/394","https://github.com/pytorch-fdn/ambassador-program/issues/394")</f>
        <v>https://github.com/pytorch-fdn/ambassador-program/issues/394</v>
      </c>
      <c r="C21" s="26" t="s">
        <v>751</v>
      </c>
      <c r="D21" s="26" t="s">
        <v>752</v>
      </c>
      <c r="E21" s="26" t="s">
        <v>652</v>
      </c>
      <c r="F21" s="26" t="s">
        <v>175</v>
      </c>
      <c r="G21" s="26" t="s">
        <v>753</v>
      </c>
      <c r="H21" s="26" t="s">
        <v>103</v>
      </c>
      <c r="I21" s="26" t="s">
        <v>100</v>
      </c>
      <c r="J21" s="26" t="s">
        <v>756</v>
      </c>
      <c r="K21" s="26" t="s">
        <v>100</v>
      </c>
      <c r="L21" s="26" t="s">
        <v>758</v>
      </c>
      <c r="M21" s="26" t="s">
        <v>108</v>
      </c>
      <c r="N21" s="26" t="s">
        <v>100</v>
      </c>
      <c r="O21" s="26" t="s">
        <v>760</v>
      </c>
      <c r="P21" s="26" t="s">
        <v>763</v>
      </c>
      <c r="Q21" s="26" t="s">
        <v>766</v>
      </c>
      <c r="R21" s="26" t="s">
        <v>768</v>
      </c>
      <c r="S21" s="26" t="s">
        <v>144</v>
      </c>
      <c r="T21" s="26" t="s">
        <v>115</v>
      </c>
      <c r="U21" s="26" t="s">
        <v>420</v>
      </c>
      <c r="V21" s="26" t="s">
        <v>772</v>
      </c>
      <c r="W21" s="22">
        <v>2.0</v>
      </c>
      <c r="X21" s="22">
        <v>2.0</v>
      </c>
      <c r="Y21" s="22">
        <v>2.0</v>
      </c>
      <c r="Z21" s="22">
        <v>2.0</v>
      </c>
      <c r="AA21" s="22">
        <v>3.0</v>
      </c>
      <c r="AB21" s="22">
        <v>3.0</v>
      </c>
      <c r="AC21" s="22">
        <v>3.0</v>
      </c>
      <c r="AD21" s="22">
        <v>2.0</v>
      </c>
      <c r="AE21" s="28">
        <f t="shared" si="1"/>
        <v>19</v>
      </c>
      <c r="AF21" s="24" t="s">
        <v>124</v>
      </c>
      <c r="AG21" s="24" t="s">
        <v>786</v>
      </c>
      <c r="AH21" s="29" t="str">
        <f t="shared" si="2"/>
        <v>Complete</v>
      </c>
    </row>
    <row r="22" ht="126.0" customHeight="1">
      <c r="A22" s="26">
        <v>389.0</v>
      </c>
      <c r="B22" s="27" t="str">
        <f>HYPERLINK("https://github.com/pytorch-fdn/ambassador-program/issues/389","https://github.com/pytorch-fdn/ambassador-program/issues/389")</f>
        <v>https://github.com/pytorch-fdn/ambassador-program/issues/389</v>
      </c>
      <c r="C22" s="26" t="s">
        <v>795</v>
      </c>
      <c r="D22" s="26" t="s">
        <v>796</v>
      </c>
      <c r="E22" s="26" t="s">
        <v>797</v>
      </c>
      <c r="F22" s="26" t="s">
        <v>261</v>
      </c>
      <c r="G22" s="26" t="s">
        <v>798</v>
      </c>
      <c r="H22" s="26" t="s">
        <v>103</v>
      </c>
      <c r="I22" s="26" t="s">
        <v>799</v>
      </c>
      <c r="J22" s="26" t="s">
        <v>801</v>
      </c>
      <c r="K22" s="26" t="s">
        <v>100</v>
      </c>
      <c r="L22" s="26" t="s">
        <v>100</v>
      </c>
      <c r="M22" s="26" t="s">
        <v>334</v>
      </c>
      <c r="N22" s="26" t="s">
        <v>802</v>
      </c>
      <c r="O22" s="26" t="s">
        <v>803</v>
      </c>
      <c r="P22" s="26" t="s">
        <v>804</v>
      </c>
      <c r="Q22" s="26" t="s">
        <v>805</v>
      </c>
      <c r="R22" s="26" t="s">
        <v>806</v>
      </c>
      <c r="S22" s="26" t="s">
        <v>807</v>
      </c>
      <c r="T22" s="26" t="s">
        <v>115</v>
      </c>
      <c r="U22" s="26" t="s">
        <v>145</v>
      </c>
      <c r="V22" s="26" t="s">
        <v>118</v>
      </c>
      <c r="W22" s="22">
        <v>4.0</v>
      </c>
      <c r="X22" s="22">
        <v>4.0</v>
      </c>
      <c r="Y22" s="22">
        <v>2.0</v>
      </c>
      <c r="Z22" s="22">
        <v>2.0</v>
      </c>
      <c r="AA22" s="22">
        <v>2.0</v>
      </c>
      <c r="AB22" s="22">
        <v>3.0</v>
      </c>
      <c r="AC22" s="22">
        <v>2.0</v>
      </c>
      <c r="AD22" s="22">
        <v>3.0</v>
      </c>
      <c r="AE22" s="28">
        <f t="shared" si="1"/>
        <v>22</v>
      </c>
      <c r="AF22" s="24" t="s">
        <v>303</v>
      </c>
      <c r="AG22" s="24" t="s">
        <v>817</v>
      </c>
      <c r="AH22" s="29" t="str">
        <f t="shared" si="2"/>
        <v>Complete</v>
      </c>
    </row>
    <row r="23" ht="408.75" customHeight="1">
      <c r="A23" s="26">
        <v>382.0</v>
      </c>
      <c r="B23" s="27" t="str">
        <f>HYPERLINK("https://github.com/pytorch-fdn/ambassador-program/issues/382","https://github.com/pytorch-fdn/ambassador-program/issues/382")</f>
        <v>https://github.com/pytorch-fdn/ambassador-program/issues/382</v>
      </c>
      <c r="C23" s="26" t="s">
        <v>830</v>
      </c>
      <c r="D23" s="26" t="s">
        <v>831</v>
      </c>
      <c r="E23" s="26" t="s">
        <v>832</v>
      </c>
      <c r="F23" s="26" t="s">
        <v>175</v>
      </c>
      <c r="G23" s="26" t="s">
        <v>100</v>
      </c>
      <c r="H23" s="26" t="s">
        <v>103</v>
      </c>
      <c r="I23" s="26" t="s">
        <v>100</v>
      </c>
      <c r="J23" s="26" t="s">
        <v>834</v>
      </c>
      <c r="K23" s="26" t="s">
        <v>100</v>
      </c>
      <c r="L23" s="26" t="s">
        <v>100</v>
      </c>
      <c r="M23" s="26" t="s">
        <v>835</v>
      </c>
      <c r="N23" s="26" t="s">
        <v>100</v>
      </c>
      <c r="O23" s="26" t="s">
        <v>789</v>
      </c>
      <c r="P23" s="26" t="s">
        <v>838</v>
      </c>
      <c r="Q23" s="26" t="s">
        <v>841</v>
      </c>
      <c r="R23" s="26" t="s">
        <v>845</v>
      </c>
      <c r="S23" s="26" t="s">
        <v>144</v>
      </c>
      <c r="T23" s="26" t="s">
        <v>115</v>
      </c>
      <c r="U23" s="26" t="s">
        <v>145</v>
      </c>
      <c r="V23" s="26" t="s">
        <v>118</v>
      </c>
      <c r="W23" s="22">
        <v>2.0</v>
      </c>
      <c r="X23" s="22">
        <v>2.0</v>
      </c>
      <c r="Y23" s="22">
        <v>3.0</v>
      </c>
      <c r="Z23" s="22">
        <v>3.0</v>
      </c>
      <c r="AA23" s="22">
        <v>4.0</v>
      </c>
      <c r="AB23" s="22">
        <v>3.0</v>
      </c>
      <c r="AC23" s="22">
        <v>3.0</v>
      </c>
      <c r="AD23" s="22">
        <v>2.0</v>
      </c>
      <c r="AE23" s="28">
        <f t="shared" si="1"/>
        <v>22</v>
      </c>
      <c r="AF23" s="24" t="s">
        <v>124</v>
      </c>
      <c r="AG23" s="24" t="s">
        <v>858</v>
      </c>
      <c r="AH23" s="29" t="str">
        <f t="shared" si="2"/>
        <v>Complete</v>
      </c>
    </row>
    <row r="24" ht="408.75" customHeight="1">
      <c r="A24" s="26">
        <v>377.0</v>
      </c>
      <c r="B24" s="27" t="str">
        <f>HYPERLINK("https://github.com/pytorch-fdn/ambassador-program/issues/377","https://github.com/pytorch-fdn/ambassador-program/issues/377")</f>
        <v>https://github.com/pytorch-fdn/ambassador-program/issues/377</v>
      </c>
      <c r="C24" s="26" t="s">
        <v>863</v>
      </c>
      <c r="D24" s="26" t="s">
        <v>864</v>
      </c>
      <c r="E24" s="26" t="s">
        <v>865</v>
      </c>
      <c r="F24" s="26" t="s">
        <v>261</v>
      </c>
      <c r="G24" s="26" t="s">
        <v>867</v>
      </c>
      <c r="H24" s="26" t="s">
        <v>103</v>
      </c>
      <c r="I24" s="26" t="s">
        <v>869</v>
      </c>
      <c r="J24" s="26" t="s">
        <v>870</v>
      </c>
      <c r="K24" s="26" t="s">
        <v>871</v>
      </c>
      <c r="L24" s="26" t="s">
        <v>100</v>
      </c>
      <c r="M24" s="26" t="s">
        <v>108</v>
      </c>
      <c r="N24" s="26" t="s">
        <v>100</v>
      </c>
      <c r="O24" s="26" t="s">
        <v>764</v>
      </c>
      <c r="P24" s="26" t="s">
        <v>877</v>
      </c>
      <c r="Q24" s="26" t="s">
        <v>878</v>
      </c>
      <c r="R24" s="26" t="s">
        <v>879</v>
      </c>
      <c r="S24" s="26" t="s">
        <v>880</v>
      </c>
      <c r="T24" s="26" t="s">
        <v>115</v>
      </c>
      <c r="U24" s="26" t="s">
        <v>145</v>
      </c>
      <c r="V24" s="26" t="s">
        <v>885</v>
      </c>
      <c r="W24" s="22">
        <v>3.0</v>
      </c>
      <c r="X24" s="22">
        <v>4.0</v>
      </c>
      <c r="Y24" s="22">
        <v>5.0</v>
      </c>
      <c r="Z24" s="22">
        <v>5.0</v>
      </c>
      <c r="AA24" s="22">
        <v>4.0</v>
      </c>
      <c r="AB24" s="22">
        <v>4.0</v>
      </c>
      <c r="AC24" s="22">
        <v>4.0</v>
      </c>
      <c r="AD24" s="22">
        <v>4.0</v>
      </c>
      <c r="AE24" s="28">
        <f t="shared" si="1"/>
        <v>33</v>
      </c>
      <c r="AF24" s="24" t="s">
        <v>195</v>
      </c>
      <c r="AG24" s="24" t="s">
        <v>888</v>
      </c>
      <c r="AH24" s="29" t="str">
        <f t="shared" si="2"/>
        <v>Complete</v>
      </c>
    </row>
    <row r="25" ht="204.0" customHeight="1">
      <c r="A25" s="26">
        <v>375.0</v>
      </c>
      <c r="B25" s="27" t="str">
        <f>HYPERLINK("https://github.com/pytorch-fdn/ambassador-program/issues/375","https://github.com/pytorch-fdn/ambassador-program/issues/375")</f>
        <v>https://github.com/pytorch-fdn/ambassador-program/issues/375</v>
      </c>
      <c r="C25" s="26" t="s">
        <v>889</v>
      </c>
      <c r="D25" s="26" t="s">
        <v>890</v>
      </c>
      <c r="E25" s="26" t="s">
        <v>891</v>
      </c>
      <c r="F25" s="26" t="s">
        <v>99</v>
      </c>
      <c r="G25" s="26" t="s">
        <v>893</v>
      </c>
      <c r="H25" s="26" t="s">
        <v>103</v>
      </c>
      <c r="I25" s="26" t="s">
        <v>100</v>
      </c>
      <c r="J25" s="26" t="s">
        <v>895</v>
      </c>
      <c r="K25" s="26" t="s">
        <v>100</v>
      </c>
      <c r="L25" s="26" t="s">
        <v>100</v>
      </c>
      <c r="M25" s="26" t="s">
        <v>896</v>
      </c>
      <c r="N25" s="26" t="s">
        <v>100</v>
      </c>
      <c r="O25" s="26" t="s">
        <v>897</v>
      </c>
      <c r="P25" s="26" t="s">
        <v>899</v>
      </c>
      <c r="Q25" s="26" t="s">
        <v>900</v>
      </c>
      <c r="R25" s="26" t="s">
        <v>901</v>
      </c>
      <c r="S25" s="26" t="s">
        <v>902</v>
      </c>
      <c r="T25" s="26" t="s">
        <v>115</v>
      </c>
      <c r="U25" s="26" t="s">
        <v>117</v>
      </c>
      <c r="V25" s="26" t="s">
        <v>903</v>
      </c>
      <c r="W25" s="22">
        <v>1.0</v>
      </c>
      <c r="X25" s="22">
        <v>1.0</v>
      </c>
      <c r="Y25" s="22">
        <v>2.0</v>
      </c>
      <c r="Z25" s="22">
        <v>2.0</v>
      </c>
      <c r="AA25" s="22">
        <v>3.0</v>
      </c>
      <c r="AB25" s="22">
        <v>3.0</v>
      </c>
      <c r="AC25" s="22">
        <v>2.0</v>
      </c>
      <c r="AD25" s="22">
        <v>2.0</v>
      </c>
      <c r="AE25" s="28">
        <f t="shared" si="1"/>
        <v>16</v>
      </c>
      <c r="AF25" s="24" t="s">
        <v>124</v>
      </c>
      <c r="AG25" s="24" t="s">
        <v>909</v>
      </c>
      <c r="AH25" s="29" t="str">
        <f t="shared" si="2"/>
        <v>Complete</v>
      </c>
    </row>
    <row r="26" ht="408.75" customHeight="1">
      <c r="A26" s="26">
        <v>371.0</v>
      </c>
      <c r="B26" s="27" t="str">
        <f>HYPERLINK("https://github.com/pytorch-fdn/ambassador-program/issues/371","https://github.com/pytorch-fdn/ambassador-program/issues/371")</f>
        <v>https://github.com/pytorch-fdn/ambassador-program/issues/371</v>
      </c>
      <c r="C26" s="26" t="s">
        <v>687</v>
      </c>
      <c r="D26" s="26" t="s">
        <v>689</v>
      </c>
      <c r="E26" s="26" t="s">
        <v>691</v>
      </c>
      <c r="F26" s="26" t="s">
        <v>95</v>
      </c>
      <c r="G26" s="26" t="s">
        <v>693</v>
      </c>
      <c r="H26" s="26" t="s">
        <v>103</v>
      </c>
      <c r="I26" s="26" t="s">
        <v>100</v>
      </c>
      <c r="J26" s="26" t="s">
        <v>695</v>
      </c>
      <c r="K26" s="26" t="s">
        <v>696</v>
      </c>
      <c r="L26" s="26" t="s">
        <v>100</v>
      </c>
      <c r="M26" s="26" t="s">
        <v>325</v>
      </c>
      <c r="N26" s="26" t="s">
        <v>100</v>
      </c>
      <c r="O26" s="26" t="s">
        <v>699</v>
      </c>
      <c r="P26" s="26" t="s">
        <v>702</v>
      </c>
      <c r="Q26" s="26" t="s">
        <v>705</v>
      </c>
      <c r="R26" s="26" t="s">
        <v>708</v>
      </c>
      <c r="S26" s="26" t="s">
        <v>709</v>
      </c>
      <c r="T26" s="26" t="s">
        <v>115</v>
      </c>
      <c r="U26" s="26" t="s">
        <v>145</v>
      </c>
      <c r="V26" s="26" t="s">
        <v>710</v>
      </c>
      <c r="W26" s="22">
        <v>3.0</v>
      </c>
      <c r="X26" s="22">
        <v>3.0</v>
      </c>
      <c r="Y26" s="22">
        <v>4.0</v>
      </c>
      <c r="Z26" s="22">
        <v>4.0</v>
      </c>
      <c r="AA26" s="22">
        <v>4.0</v>
      </c>
      <c r="AB26" s="22">
        <v>4.0</v>
      </c>
      <c r="AC26" s="22">
        <v>4.0</v>
      </c>
      <c r="AD26" s="22">
        <v>4.0</v>
      </c>
      <c r="AE26" s="28">
        <f t="shared" si="1"/>
        <v>30</v>
      </c>
      <c r="AF26" s="24" t="s">
        <v>195</v>
      </c>
      <c r="AG26" s="24" t="s">
        <v>936</v>
      </c>
      <c r="AH26" s="29" t="str">
        <f t="shared" si="2"/>
        <v>Complete</v>
      </c>
    </row>
    <row r="27" ht="408.75" customHeight="1">
      <c r="A27" s="26">
        <v>355.0</v>
      </c>
      <c r="B27" s="27" t="str">
        <f>HYPERLINK("https://github.com/pytorch-fdn/ambassador-program/issues/355","https://github.com/pytorch-fdn/ambassador-program/issues/355")</f>
        <v>https://github.com/pytorch-fdn/ambassador-program/issues/355</v>
      </c>
      <c r="C27" s="26" t="s">
        <v>943</v>
      </c>
      <c r="D27" s="26" t="s">
        <v>944</v>
      </c>
      <c r="E27" s="26" t="s">
        <v>947</v>
      </c>
      <c r="F27" s="26" t="s">
        <v>95</v>
      </c>
      <c r="G27" s="26" t="s">
        <v>100</v>
      </c>
      <c r="H27" s="26" t="s">
        <v>103</v>
      </c>
      <c r="I27" s="26" t="s">
        <v>100</v>
      </c>
      <c r="J27" s="26" t="s">
        <v>950</v>
      </c>
      <c r="K27" s="26" t="s">
        <v>952</v>
      </c>
      <c r="L27" s="26" t="s">
        <v>100</v>
      </c>
      <c r="M27" s="26" t="s">
        <v>954</v>
      </c>
      <c r="N27" s="26" t="s">
        <v>955</v>
      </c>
      <c r="O27" s="26" t="s">
        <v>956</v>
      </c>
      <c r="P27" s="26" t="s">
        <v>957</v>
      </c>
      <c r="Q27" s="26" t="s">
        <v>958</v>
      </c>
      <c r="R27" s="26" t="s">
        <v>959</v>
      </c>
      <c r="S27" s="26" t="s">
        <v>777</v>
      </c>
      <c r="T27" s="26" t="s">
        <v>115</v>
      </c>
      <c r="U27" s="26" t="s">
        <v>866</v>
      </c>
      <c r="V27" s="26" t="s">
        <v>118</v>
      </c>
      <c r="W27" s="22">
        <v>4.0</v>
      </c>
      <c r="X27" s="22">
        <v>5.0</v>
      </c>
      <c r="Y27" s="22">
        <v>5.0</v>
      </c>
      <c r="Z27" s="22">
        <v>4.0</v>
      </c>
      <c r="AA27" s="22">
        <v>4.0</v>
      </c>
      <c r="AB27" s="22">
        <v>5.0</v>
      </c>
      <c r="AC27" s="22">
        <v>5.0</v>
      </c>
      <c r="AD27" s="22">
        <v>5.0</v>
      </c>
      <c r="AE27" s="28">
        <f t="shared" si="1"/>
        <v>37</v>
      </c>
      <c r="AF27" s="24" t="s">
        <v>164</v>
      </c>
      <c r="AG27" s="24" t="s">
        <v>960</v>
      </c>
      <c r="AH27" s="29" t="str">
        <f t="shared" si="2"/>
        <v>Complete</v>
      </c>
    </row>
    <row r="28" ht="408.0" customHeight="1">
      <c r="A28" s="26">
        <v>354.0</v>
      </c>
      <c r="B28" s="27" t="str">
        <f>HYPERLINK("https://github.com/pytorch-fdn/ambassador-program/issues/354","https://github.com/pytorch-fdn/ambassador-program/issues/354")</f>
        <v>https://github.com/pytorch-fdn/ambassador-program/issues/354</v>
      </c>
      <c r="C28" s="26" t="s">
        <v>966</v>
      </c>
      <c r="D28" s="26" t="s">
        <v>968</v>
      </c>
      <c r="E28" s="26" t="s">
        <v>969</v>
      </c>
      <c r="F28" s="26" t="s">
        <v>261</v>
      </c>
      <c r="G28" s="26" t="s">
        <v>970</v>
      </c>
      <c r="H28" s="26" t="s">
        <v>103</v>
      </c>
      <c r="I28" s="26" t="s">
        <v>100</v>
      </c>
      <c r="J28" s="26" t="s">
        <v>973</v>
      </c>
      <c r="K28" s="26" t="s">
        <v>100</v>
      </c>
      <c r="L28" s="26" t="s">
        <v>100</v>
      </c>
      <c r="M28" s="26" t="s">
        <v>108</v>
      </c>
      <c r="N28" s="26" t="s">
        <v>100</v>
      </c>
      <c r="O28" s="26" t="s">
        <v>978</v>
      </c>
      <c r="P28" s="26" t="s">
        <v>980</v>
      </c>
      <c r="Q28" s="26" t="s">
        <v>984</v>
      </c>
      <c r="R28" s="26" t="s">
        <v>986</v>
      </c>
      <c r="S28" s="26" t="s">
        <v>987</v>
      </c>
      <c r="T28" s="26" t="s">
        <v>158</v>
      </c>
      <c r="U28" s="26" t="s">
        <v>989</v>
      </c>
      <c r="V28" s="26" t="s">
        <v>994</v>
      </c>
      <c r="W28" s="22">
        <v>2.0</v>
      </c>
      <c r="X28" s="22">
        <v>2.0</v>
      </c>
      <c r="Y28" s="22">
        <v>4.0</v>
      </c>
      <c r="Z28" s="22">
        <v>4.0</v>
      </c>
      <c r="AA28" s="22">
        <v>2.0</v>
      </c>
      <c r="AB28" s="22">
        <v>3.0</v>
      </c>
      <c r="AC28" s="22">
        <v>2.0</v>
      </c>
      <c r="AD28" s="22">
        <v>3.0</v>
      </c>
      <c r="AE28" s="28">
        <f t="shared" si="1"/>
        <v>22</v>
      </c>
      <c r="AF28" s="24" t="s">
        <v>303</v>
      </c>
      <c r="AG28" s="24" t="s">
        <v>997</v>
      </c>
      <c r="AH28" s="29" t="str">
        <f t="shared" si="2"/>
        <v>Complete</v>
      </c>
    </row>
    <row r="29" ht="408.75" customHeight="1">
      <c r="A29" s="32">
        <v>352.0</v>
      </c>
      <c r="B29" s="33" t="str">
        <f>HYPERLINK("https://github.com/pytorch-fdn/ambassador-program/issues/352","https://github.com/pytorch-fdn/ambassador-program/issues/352")</f>
        <v>https://github.com/pytorch-fdn/ambassador-program/issues/352</v>
      </c>
      <c r="C29" s="32" t="s">
        <v>1007</v>
      </c>
      <c r="D29" s="32" t="s">
        <v>1009</v>
      </c>
      <c r="E29" s="32" t="s">
        <v>262</v>
      </c>
      <c r="F29" s="32" t="s">
        <v>175</v>
      </c>
      <c r="G29" s="32" t="s">
        <v>1012</v>
      </c>
      <c r="H29" s="32" t="s">
        <v>103</v>
      </c>
      <c r="I29" s="32" t="s">
        <v>100</v>
      </c>
      <c r="J29" s="32" t="s">
        <v>1015</v>
      </c>
      <c r="K29" s="32" t="s">
        <v>100</v>
      </c>
      <c r="L29" s="32" t="s">
        <v>100</v>
      </c>
      <c r="M29" s="32" t="s">
        <v>391</v>
      </c>
      <c r="N29" s="32" t="s">
        <v>100</v>
      </c>
      <c r="O29" s="32" t="s">
        <v>658</v>
      </c>
      <c r="P29" s="32" t="s">
        <v>1030</v>
      </c>
      <c r="Q29" s="32" t="s">
        <v>1031</v>
      </c>
      <c r="R29" s="32" t="s">
        <v>1033</v>
      </c>
      <c r="S29" s="32" t="s">
        <v>777</v>
      </c>
      <c r="T29" s="32" t="s">
        <v>115</v>
      </c>
      <c r="U29" s="32" t="s">
        <v>1035</v>
      </c>
      <c r="V29" s="32" t="s">
        <v>1039</v>
      </c>
      <c r="W29" s="22">
        <v>5.0</v>
      </c>
      <c r="X29" s="22">
        <v>5.0</v>
      </c>
      <c r="Y29" s="22">
        <v>5.0</v>
      </c>
      <c r="Z29" s="22">
        <v>5.0</v>
      </c>
      <c r="AA29" s="22">
        <v>5.0</v>
      </c>
      <c r="AB29" s="22">
        <v>5.0</v>
      </c>
      <c r="AC29" s="22">
        <v>5.0</v>
      </c>
      <c r="AD29" s="22">
        <v>5.0</v>
      </c>
      <c r="AE29" s="34">
        <f t="shared" si="1"/>
        <v>40</v>
      </c>
      <c r="AF29" s="24" t="s">
        <v>164</v>
      </c>
      <c r="AG29" s="24" t="s">
        <v>1049</v>
      </c>
      <c r="AH29" s="35" t="str">
        <f t="shared" si="2"/>
        <v>Complete</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126</v>
      </c>
    </row>
    <row r="2" ht="27.75" customHeight="1">
      <c r="A2" s="2" t="s">
        <v>51</v>
      </c>
    </row>
    <row r="3">
      <c r="A3" s="14" t="s">
        <v>53</v>
      </c>
      <c r="W3" s="15" t="s">
        <v>54</v>
      </c>
    </row>
    <row r="4" ht="104.25"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6" t="s">
        <v>85</v>
      </c>
      <c r="AE4" s="19" t="s">
        <v>86</v>
      </c>
      <c r="AF4" s="16" t="s">
        <v>87</v>
      </c>
      <c r="AG4" s="16" t="s">
        <v>88</v>
      </c>
      <c r="AH4" s="19" t="s">
        <v>89</v>
      </c>
    </row>
    <row r="5" ht="408.75" customHeight="1">
      <c r="A5" s="20">
        <v>478.0</v>
      </c>
      <c r="B5" s="21" t="str">
        <f>HYPERLINK("https://github.com/pytorch-fdn/ambassador-program/issues/478","https://github.com/pytorch-fdn/ambassador-program/issues/478")</f>
        <v>https://github.com/pytorch-fdn/ambassador-program/issues/478</v>
      </c>
      <c r="C5" s="20" t="s">
        <v>151</v>
      </c>
      <c r="D5" s="20" t="s">
        <v>152</v>
      </c>
      <c r="E5" s="20" t="s">
        <v>153</v>
      </c>
      <c r="F5" s="20" t="s">
        <v>95</v>
      </c>
      <c r="G5" s="20" t="s">
        <v>155</v>
      </c>
      <c r="H5" s="20" t="s">
        <v>98</v>
      </c>
      <c r="I5" s="20" t="s">
        <v>100</v>
      </c>
      <c r="J5" s="20" t="s">
        <v>157</v>
      </c>
      <c r="K5" s="20" t="s">
        <v>159</v>
      </c>
      <c r="L5" s="20" t="s">
        <v>161</v>
      </c>
      <c r="M5" s="20" t="s">
        <v>162</v>
      </c>
      <c r="N5" s="20" t="s">
        <v>100</v>
      </c>
      <c r="O5" s="20" t="s">
        <v>147</v>
      </c>
      <c r="P5" s="20" t="s">
        <v>166</v>
      </c>
      <c r="Q5" s="20" t="s">
        <v>167</v>
      </c>
      <c r="R5" s="20" t="s">
        <v>168</v>
      </c>
      <c r="S5" s="20" t="s">
        <v>169</v>
      </c>
      <c r="T5" s="20" t="s">
        <v>115</v>
      </c>
      <c r="U5" s="20" t="s">
        <v>170</v>
      </c>
      <c r="V5" s="20" t="s">
        <v>174</v>
      </c>
      <c r="W5" s="22">
        <v>3.0</v>
      </c>
      <c r="X5" s="22">
        <v>3.0</v>
      </c>
      <c r="Y5" s="22">
        <v>3.0</v>
      </c>
      <c r="Z5" s="22">
        <v>3.0</v>
      </c>
      <c r="AA5" s="22">
        <v>3.0</v>
      </c>
      <c r="AB5" s="22">
        <v>3.0</v>
      </c>
      <c r="AC5" s="22">
        <v>3.0</v>
      </c>
      <c r="AD5" s="22">
        <v>3.0</v>
      </c>
      <c r="AE5" s="23">
        <f t="shared" ref="AE5:AE29" si="1">IF(COUNT(W5:AD5)=8,SUM(W5:AD5),"")</f>
        <v>24</v>
      </c>
      <c r="AF5" s="24" t="s">
        <v>195</v>
      </c>
      <c r="AG5" s="24" t="s">
        <v>197</v>
      </c>
      <c r="AH5" s="25" t="str">
        <f t="shared" ref="AH5:AH29" si="2">IF(AND(COUNT(W5:AD5)=0,AF5="",AG5=""),"Not Started",IF(AF5="Abstain (Conflict of Interest)",IF(AG5&lt;&gt;"","Reassignment Required","Add Conflict Note"),IF(AND(COUNT(W5:AD5)=8,AF5&lt;&gt;"",AG5&lt;&gt;""),"Complete","In Progress")))</f>
        <v>Complete</v>
      </c>
    </row>
    <row r="6" ht="372.0" customHeight="1">
      <c r="A6" s="26">
        <v>471.0</v>
      </c>
      <c r="B6" s="27" t="str">
        <f>HYPERLINK("https://github.com/pytorch-fdn/ambassador-program/issues/471","https://github.com/pytorch-fdn/ambassador-program/issues/471")</f>
        <v>https://github.com/pytorch-fdn/ambassador-program/issues/471</v>
      </c>
      <c r="C6" s="26" t="s">
        <v>127</v>
      </c>
      <c r="D6" s="26" t="s">
        <v>128</v>
      </c>
      <c r="E6" s="26" t="s">
        <v>129</v>
      </c>
      <c r="F6" s="26" t="s">
        <v>95</v>
      </c>
      <c r="G6" s="26" t="s">
        <v>130</v>
      </c>
      <c r="H6" s="26" t="s">
        <v>103</v>
      </c>
      <c r="I6" s="26" t="s">
        <v>100</v>
      </c>
      <c r="J6" s="26" t="s">
        <v>131</v>
      </c>
      <c r="K6" s="26" t="s">
        <v>100</v>
      </c>
      <c r="L6" s="26" t="s">
        <v>100</v>
      </c>
      <c r="M6" s="26" t="s">
        <v>132</v>
      </c>
      <c r="N6" s="26" t="s">
        <v>133</v>
      </c>
      <c r="O6" s="26" t="s">
        <v>134</v>
      </c>
      <c r="P6" s="26" t="s">
        <v>136</v>
      </c>
      <c r="Q6" s="26" t="s">
        <v>140</v>
      </c>
      <c r="R6" s="26" t="s">
        <v>142</v>
      </c>
      <c r="S6" s="26" t="s">
        <v>144</v>
      </c>
      <c r="T6" s="26" t="s">
        <v>115</v>
      </c>
      <c r="U6" s="26" t="s">
        <v>145</v>
      </c>
      <c r="V6" s="26" t="s">
        <v>146</v>
      </c>
      <c r="W6" s="22">
        <v>4.0</v>
      </c>
      <c r="X6" s="22">
        <v>3.0</v>
      </c>
      <c r="Y6" s="22">
        <v>4.0</v>
      </c>
      <c r="Z6" s="22">
        <v>4.0</v>
      </c>
      <c r="AA6" s="22">
        <v>3.0</v>
      </c>
      <c r="AB6" s="22">
        <v>3.0</v>
      </c>
      <c r="AC6" s="22">
        <v>4.0</v>
      </c>
      <c r="AD6" s="22">
        <v>4.0</v>
      </c>
      <c r="AE6" s="28">
        <f t="shared" si="1"/>
        <v>29</v>
      </c>
      <c r="AF6" s="24" t="s">
        <v>195</v>
      </c>
      <c r="AG6" s="24" t="s">
        <v>217</v>
      </c>
      <c r="AH6" s="29" t="str">
        <f t="shared" si="2"/>
        <v>Complete</v>
      </c>
    </row>
    <row r="7" ht="126.0" customHeight="1">
      <c r="A7" s="26">
        <v>467.0</v>
      </c>
      <c r="B7" s="27" t="str">
        <f>HYPERLINK("https://github.com/pytorch-fdn/ambassador-program/issues/467","https://github.com/pytorch-fdn/ambassador-program/issues/467")</f>
        <v>https://github.com/pytorch-fdn/ambassador-program/issues/467</v>
      </c>
      <c r="C7" s="26" t="s">
        <v>220</v>
      </c>
      <c r="D7" s="26" t="s">
        <v>221</v>
      </c>
      <c r="E7" s="26" t="s">
        <v>223</v>
      </c>
      <c r="F7" s="26" t="s">
        <v>95</v>
      </c>
      <c r="G7" s="26" t="s">
        <v>226</v>
      </c>
      <c r="H7" s="26" t="s">
        <v>103</v>
      </c>
      <c r="I7" s="26" t="s">
        <v>100</v>
      </c>
      <c r="J7" s="26" t="s">
        <v>230</v>
      </c>
      <c r="K7" s="26" t="s">
        <v>100</v>
      </c>
      <c r="L7" s="26" t="s">
        <v>100</v>
      </c>
      <c r="M7" s="26" t="s">
        <v>232</v>
      </c>
      <c r="N7" s="26" t="s">
        <v>100</v>
      </c>
      <c r="O7" s="26" t="s">
        <v>235</v>
      </c>
      <c r="P7" s="26" t="s">
        <v>237</v>
      </c>
      <c r="Q7" s="26" t="s">
        <v>240</v>
      </c>
      <c r="R7" s="26" t="s">
        <v>242</v>
      </c>
      <c r="S7" s="26" t="s">
        <v>244</v>
      </c>
      <c r="T7" s="26" t="s">
        <v>115</v>
      </c>
      <c r="U7" s="26" t="s">
        <v>145</v>
      </c>
      <c r="V7" s="26" t="s">
        <v>118</v>
      </c>
      <c r="W7" s="22">
        <v>2.0</v>
      </c>
      <c r="X7" s="22">
        <v>2.0</v>
      </c>
      <c r="Y7" s="22">
        <v>1.0</v>
      </c>
      <c r="Z7" s="22">
        <v>1.0</v>
      </c>
      <c r="AA7" s="22">
        <v>2.0</v>
      </c>
      <c r="AB7" s="22">
        <v>2.0</v>
      </c>
      <c r="AC7" s="22">
        <v>1.0</v>
      </c>
      <c r="AD7" s="22">
        <v>2.0</v>
      </c>
      <c r="AE7" s="28">
        <f t="shared" si="1"/>
        <v>13</v>
      </c>
      <c r="AF7" s="24" t="s">
        <v>124</v>
      </c>
      <c r="AG7" s="24" t="s">
        <v>252</v>
      </c>
      <c r="AH7" s="29" t="str">
        <f t="shared" si="2"/>
        <v>Complete</v>
      </c>
    </row>
    <row r="8" ht="408.75" customHeight="1">
      <c r="A8" s="26">
        <v>465.0</v>
      </c>
      <c r="B8" s="27" t="str">
        <f>HYPERLINK("https://github.com/pytorch-fdn/ambassador-program/issues/465","https://github.com/pytorch-fdn/ambassador-program/issues/465")</f>
        <v>https://github.com/pytorch-fdn/ambassador-program/issues/465</v>
      </c>
      <c r="C8" s="26" t="s">
        <v>267</v>
      </c>
      <c r="D8" s="26" t="s">
        <v>269</v>
      </c>
      <c r="E8" s="26" t="s">
        <v>271</v>
      </c>
      <c r="F8" s="26" t="s">
        <v>261</v>
      </c>
      <c r="G8" s="26" t="s">
        <v>274</v>
      </c>
      <c r="H8" s="26" t="s">
        <v>103</v>
      </c>
      <c r="I8" s="26" t="s">
        <v>100</v>
      </c>
      <c r="J8" s="26" t="s">
        <v>276</v>
      </c>
      <c r="K8" s="26" t="s">
        <v>100</v>
      </c>
      <c r="L8" s="26" t="s">
        <v>100</v>
      </c>
      <c r="M8" s="26" t="s">
        <v>106</v>
      </c>
      <c r="N8" s="26" t="s">
        <v>100</v>
      </c>
      <c r="O8" s="26" t="s">
        <v>279</v>
      </c>
      <c r="P8" s="26" t="s">
        <v>284</v>
      </c>
      <c r="Q8" s="26" t="s">
        <v>285</v>
      </c>
      <c r="R8" s="26" t="s">
        <v>289</v>
      </c>
      <c r="S8" s="26" t="s">
        <v>291</v>
      </c>
      <c r="T8" s="26" t="s">
        <v>115</v>
      </c>
      <c r="U8" s="26" t="s">
        <v>145</v>
      </c>
      <c r="V8" s="26" t="s">
        <v>295</v>
      </c>
      <c r="W8" s="22">
        <v>3.0</v>
      </c>
      <c r="X8" s="22">
        <v>2.0</v>
      </c>
      <c r="Y8" s="22">
        <v>3.0</v>
      </c>
      <c r="Z8" s="22">
        <v>3.0</v>
      </c>
      <c r="AA8" s="22">
        <v>3.0</v>
      </c>
      <c r="AB8" s="22">
        <v>3.0</v>
      </c>
      <c r="AC8" s="22">
        <v>3.0</v>
      </c>
      <c r="AD8" s="22">
        <v>3.0</v>
      </c>
      <c r="AE8" s="28">
        <f t="shared" si="1"/>
        <v>23</v>
      </c>
      <c r="AF8" s="24" t="s">
        <v>303</v>
      </c>
      <c r="AG8" s="24" t="s">
        <v>304</v>
      </c>
      <c r="AH8" s="29" t="str">
        <f t="shared" si="2"/>
        <v>Complete</v>
      </c>
    </row>
    <row r="9" ht="132.0" customHeight="1">
      <c r="A9" s="26">
        <v>446.0</v>
      </c>
      <c r="B9" s="27" t="str">
        <f>HYPERLINK("https://github.com/pytorch-fdn/ambassador-program/issues/446","https://github.com/pytorch-fdn/ambassador-program/issues/446")</f>
        <v>https://github.com/pytorch-fdn/ambassador-program/issues/446</v>
      </c>
      <c r="C9" s="26" t="s">
        <v>312</v>
      </c>
      <c r="D9" s="26" t="s">
        <v>315</v>
      </c>
      <c r="E9" s="26" t="s">
        <v>317</v>
      </c>
      <c r="F9" s="26" t="s">
        <v>175</v>
      </c>
      <c r="G9" s="26" t="s">
        <v>321</v>
      </c>
      <c r="H9" s="26" t="s">
        <v>103</v>
      </c>
      <c r="I9" s="26" t="s">
        <v>100</v>
      </c>
      <c r="J9" s="26" t="s">
        <v>327</v>
      </c>
      <c r="K9" s="26" t="s">
        <v>331</v>
      </c>
      <c r="L9" s="26" t="s">
        <v>100</v>
      </c>
      <c r="M9" s="26" t="s">
        <v>108</v>
      </c>
      <c r="N9" s="26" t="s">
        <v>100</v>
      </c>
      <c r="O9" s="26" t="s">
        <v>337</v>
      </c>
      <c r="P9" s="26" t="s">
        <v>339</v>
      </c>
      <c r="Q9" s="26" t="s">
        <v>343</v>
      </c>
      <c r="R9" s="26" t="s">
        <v>347</v>
      </c>
      <c r="S9" s="26" t="s">
        <v>350</v>
      </c>
      <c r="T9" s="26" t="s">
        <v>115</v>
      </c>
      <c r="U9" s="26" t="s">
        <v>145</v>
      </c>
      <c r="V9" s="26" t="s">
        <v>352</v>
      </c>
      <c r="W9" s="22">
        <v>1.0</v>
      </c>
      <c r="X9" s="22">
        <v>1.0</v>
      </c>
      <c r="Y9" s="22">
        <v>2.0</v>
      </c>
      <c r="Z9" s="22">
        <v>2.0</v>
      </c>
      <c r="AA9" s="22">
        <v>2.0</v>
      </c>
      <c r="AB9" s="22">
        <v>2.0</v>
      </c>
      <c r="AC9" s="22">
        <v>2.0</v>
      </c>
      <c r="AD9" s="22">
        <v>2.0</v>
      </c>
      <c r="AE9" s="28">
        <f t="shared" si="1"/>
        <v>14</v>
      </c>
      <c r="AF9" s="24" t="s">
        <v>124</v>
      </c>
      <c r="AG9" s="24" t="s">
        <v>355</v>
      </c>
      <c r="AH9" s="29" t="str">
        <f t="shared" si="2"/>
        <v>Complete</v>
      </c>
    </row>
    <row r="10" ht="126.0" customHeight="1">
      <c r="A10" s="26">
        <v>437.0</v>
      </c>
      <c r="B10" s="27" t="str">
        <f>HYPERLINK("https://github.com/pytorch-fdn/ambassador-program/issues/437","https://github.com/pytorch-fdn/ambassador-program/issues/437")</f>
        <v>https://github.com/pytorch-fdn/ambassador-program/issues/437</v>
      </c>
      <c r="C10" s="26" t="s">
        <v>368</v>
      </c>
      <c r="D10" s="26" t="s">
        <v>371</v>
      </c>
      <c r="E10" s="26" t="s">
        <v>375</v>
      </c>
      <c r="F10" s="26" t="s">
        <v>175</v>
      </c>
      <c r="G10" s="26" t="s">
        <v>380</v>
      </c>
      <c r="H10" s="26" t="s">
        <v>103</v>
      </c>
      <c r="I10" s="26" t="s">
        <v>100</v>
      </c>
      <c r="J10" s="26" t="s">
        <v>387</v>
      </c>
      <c r="K10" s="26" t="s">
        <v>100</v>
      </c>
      <c r="L10" s="26" t="s">
        <v>100</v>
      </c>
      <c r="M10" s="26" t="s">
        <v>391</v>
      </c>
      <c r="N10" s="26" t="s">
        <v>100</v>
      </c>
      <c r="O10" s="26" t="s">
        <v>134</v>
      </c>
      <c r="P10" s="26" t="s">
        <v>393</v>
      </c>
      <c r="Q10" s="26" t="s">
        <v>395</v>
      </c>
      <c r="R10" s="26" t="s">
        <v>398</v>
      </c>
      <c r="S10" s="26" t="s">
        <v>400</v>
      </c>
      <c r="T10" s="26" t="s">
        <v>158</v>
      </c>
      <c r="U10" s="26" t="s">
        <v>402</v>
      </c>
      <c r="V10" s="26" t="s">
        <v>118</v>
      </c>
      <c r="W10" s="22">
        <v>1.0</v>
      </c>
      <c r="X10" s="22">
        <v>1.0</v>
      </c>
      <c r="Y10" s="22">
        <v>2.0</v>
      </c>
      <c r="Z10" s="22">
        <v>2.0</v>
      </c>
      <c r="AA10" s="22">
        <v>2.0</v>
      </c>
      <c r="AB10" s="22">
        <v>2.0</v>
      </c>
      <c r="AC10" s="22">
        <v>2.0</v>
      </c>
      <c r="AD10" s="22">
        <v>2.0</v>
      </c>
      <c r="AE10" s="28">
        <f t="shared" si="1"/>
        <v>14</v>
      </c>
      <c r="AF10" s="24" t="s">
        <v>124</v>
      </c>
      <c r="AG10" s="24" t="s">
        <v>411</v>
      </c>
      <c r="AH10" s="29" t="str">
        <f t="shared" si="2"/>
        <v>Complete</v>
      </c>
    </row>
    <row r="11" ht="408.75" customHeight="1">
      <c r="A11" s="26">
        <v>434.0</v>
      </c>
      <c r="B11" s="27" t="str">
        <f>HYPERLINK("https://github.com/pytorch-fdn/ambassador-program/issues/434","https://github.com/pytorch-fdn/ambassador-program/issues/434")</f>
        <v>https://github.com/pytorch-fdn/ambassador-program/issues/434</v>
      </c>
      <c r="C11" s="26" t="s">
        <v>428</v>
      </c>
      <c r="D11" s="26" t="s">
        <v>431</v>
      </c>
      <c r="E11" s="26" t="s">
        <v>434</v>
      </c>
      <c r="F11" s="26" t="s">
        <v>261</v>
      </c>
      <c r="G11" s="26" t="s">
        <v>100</v>
      </c>
      <c r="H11" s="26" t="s">
        <v>103</v>
      </c>
      <c r="I11" s="26" t="s">
        <v>100</v>
      </c>
      <c r="J11" s="26" t="s">
        <v>438</v>
      </c>
      <c r="K11" s="26" t="s">
        <v>100</v>
      </c>
      <c r="L11" s="26" t="s">
        <v>100</v>
      </c>
      <c r="M11" s="26" t="s">
        <v>444</v>
      </c>
      <c r="N11" s="26" t="s">
        <v>100</v>
      </c>
      <c r="O11" s="26" t="s">
        <v>446</v>
      </c>
      <c r="P11" s="26" t="s">
        <v>449</v>
      </c>
      <c r="Q11" s="26" t="s">
        <v>454</v>
      </c>
      <c r="R11" s="26" t="s">
        <v>461</v>
      </c>
      <c r="S11" s="26" t="s">
        <v>463</v>
      </c>
      <c r="T11" s="26" t="s">
        <v>115</v>
      </c>
      <c r="U11" s="26" t="s">
        <v>434</v>
      </c>
      <c r="V11" s="26" t="s">
        <v>118</v>
      </c>
      <c r="W11" s="22">
        <v>2.0</v>
      </c>
      <c r="X11" s="22">
        <v>1.0</v>
      </c>
      <c r="Y11" s="22">
        <v>3.0</v>
      </c>
      <c r="Z11" s="22">
        <v>3.0</v>
      </c>
      <c r="AA11" s="22">
        <v>3.0</v>
      </c>
      <c r="AB11" s="22">
        <v>3.0</v>
      </c>
      <c r="AC11" s="22">
        <v>3.0</v>
      </c>
      <c r="AD11" s="22">
        <v>2.0</v>
      </c>
      <c r="AE11" s="28">
        <f t="shared" si="1"/>
        <v>20</v>
      </c>
      <c r="AF11" s="24" t="s">
        <v>303</v>
      </c>
      <c r="AG11" s="24" t="s">
        <v>486</v>
      </c>
      <c r="AH11" s="29" t="str">
        <f t="shared" si="2"/>
        <v>Complete</v>
      </c>
    </row>
    <row r="12" ht="408.75" customHeight="1">
      <c r="A12" s="26">
        <v>428.0</v>
      </c>
      <c r="B12" s="27" t="str">
        <f>HYPERLINK("https://github.com/pytorch-fdn/ambassador-program/issues/428","https://github.com/pytorch-fdn/ambassador-program/issues/428")</f>
        <v>https://github.com/pytorch-fdn/ambassador-program/issues/428</v>
      </c>
      <c r="C12" s="26" t="s">
        <v>496</v>
      </c>
      <c r="D12" s="26" t="s">
        <v>499</v>
      </c>
      <c r="E12" s="26" t="s">
        <v>501</v>
      </c>
      <c r="F12" s="26" t="s">
        <v>261</v>
      </c>
      <c r="G12" s="26" t="s">
        <v>502</v>
      </c>
      <c r="H12" s="26" t="s">
        <v>98</v>
      </c>
      <c r="I12" s="26" t="s">
        <v>100</v>
      </c>
      <c r="J12" s="26" t="s">
        <v>506</v>
      </c>
      <c r="K12" s="26" t="s">
        <v>508</v>
      </c>
      <c r="L12" s="26" t="s">
        <v>510</v>
      </c>
      <c r="M12" s="26" t="s">
        <v>162</v>
      </c>
      <c r="N12" s="26" t="s">
        <v>100</v>
      </c>
      <c r="O12" s="26" t="s">
        <v>279</v>
      </c>
      <c r="P12" s="26" t="s">
        <v>519</v>
      </c>
      <c r="Q12" s="26" t="s">
        <v>522</v>
      </c>
      <c r="R12" s="26" t="s">
        <v>523</v>
      </c>
      <c r="S12" s="26" t="s">
        <v>144</v>
      </c>
      <c r="T12" s="26" t="s">
        <v>115</v>
      </c>
      <c r="U12" s="26" t="s">
        <v>145</v>
      </c>
      <c r="V12" s="26" t="s">
        <v>524</v>
      </c>
      <c r="W12" s="22">
        <v>1.0</v>
      </c>
      <c r="X12" s="22">
        <v>1.0</v>
      </c>
      <c r="Y12" s="22">
        <v>2.0</v>
      </c>
      <c r="Z12" s="22">
        <v>2.0</v>
      </c>
      <c r="AA12" s="22">
        <v>3.0</v>
      </c>
      <c r="AB12" s="22">
        <v>2.0</v>
      </c>
      <c r="AC12" s="22">
        <v>3.0</v>
      </c>
      <c r="AD12" s="22">
        <v>2.0</v>
      </c>
      <c r="AE12" s="28">
        <f t="shared" si="1"/>
        <v>16</v>
      </c>
      <c r="AF12" s="24" t="s">
        <v>535</v>
      </c>
      <c r="AG12" s="24" t="s">
        <v>537</v>
      </c>
      <c r="AH12" s="29" t="str">
        <f t="shared" si="2"/>
        <v>Complete</v>
      </c>
    </row>
    <row r="13" ht="408.75" customHeight="1">
      <c r="A13" s="26">
        <v>423.0</v>
      </c>
      <c r="B13" s="27" t="str">
        <f>HYPERLINK("https://github.com/pytorch-fdn/ambassador-program/issues/423","https://github.com/pytorch-fdn/ambassador-program/issues/423")</f>
        <v>https://github.com/pytorch-fdn/ambassador-program/issues/423</v>
      </c>
      <c r="C13" s="26" t="s">
        <v>557</v>
      </c>
      <c r="D13" s="26" t="s">
        <v>559</v>
      </c>
      <c r="E13" s="26" t="s">
        <v>560</v>
      </c>
      <c r="F13" s="26" t="s">
        <v>175</v>
      </c>
      <c r="G13" s="26" t="s">
        <v>563</v>
      </c>
      <c r="H13" s="26" t="s">
        <v>103</v>
      </c>
      <c r="I13" s="26" t="s">
        <v>100</v>
      </c>
      <c r="J13" s="26" t="s">
        <v>566</v>
      </c>
      <c r="K13" s="26" t="s">
        <v>100</v>
      </c>
      <c r="L13" s="26" t="s">
        <v>100</v>
      </c>
      <c r="M13" s="26" t="s">
        <v>162</v>
      </c>
      <c r="N13" s="26" t="s">
        <v>568</v>
      </c>
      <c r="O13" s="26" t="s">
        <v>571</v>
      </c>
      <c r="P13" s="26" t="s">
        <v>575</v>
      </c>
      <c r="Q13" s="26" t="s">
        <v>578</v>
      </c>
      <c r="R13" s="26" t="s">
        <v>581</v>
      </c>
      <c r="S13" s="26" t="s">
        <v>120</v>
      </c>
      <c r="T13" s="26" t="s">
        <v>115</v>
      </c>
      <c r="U13" s="26" t="s">
        <v>247</v>
      </c>
      <c r="V13" s="26" t="s">
        <v>586</v>
      </c>
      <c r="W13" s="22">
        <v>2.0</v>
      </c>
      <c r="X13" s="22">
        <v>1.0</v>
      </c>
      <c r="Y13" s="22">
        <v>3.0</v>
      </c>
      <c r="Z13" s="22">
        <v>3.0</v>
      </c>
      <c r="AA13" s="22">
        <v>2.0</v>
      </c>
      <c r="AB13" s="22">
        <v>3.0</v>
      </c>
      <c r="AC13" s="22">
        <v>2.0</v>
      </c>
      <c r="AD13" s="22">
        <v>2.0</v>
      </c>
      <c r="AE13" s="28">
        <f t="shared" si="1"/>
        <v>18</v>
      </c>
      <c r="AF13" s="24" t="s">
        <v>303</v>
      </c>
      <c r="AG13" s="24" t="s">
        <v>595</v>
      </c>
      <c r="AH13" s="29" t="str">
        <f t="shared" si="2"/>
        <v>Complete</v>
      </c>
    </row>
    <row r="14" ht="324.0" customHeight="1">
      <c r="A14" s="26">
        <v>418.0</v>
      </c>
      <c r="B14" s="27" t="str">
        <f>HYPERLINK("https://github.com/pytorch-fdn/ambassador-program/issues/418","https://github.com/pytorch-fdn/ambassador-program/issues/418")</f>
        <v>https://github.com/pytorch-fdn/ambassador-program/issues/418</v>
      </c>
      <c r="C14" s="26" t="s">
        <v>647</v>
      </c>
      <c r="D14" s="26" t="s">
        <v>650</v>
      </c>
      <c r="E14" s="26" t="s">
        <v>652</v>
      </c>
      <c r="F14" s="26" t="s">
        <v>261</v>
      </c>
      <c r="G14" s="26" t="s">
        <v>656</v>
      </c>
      <c r="H14" s="26" t="s">
        <v>103</v>
      </c>
      <c r="I14" s="26" t="s">
        <v>100</v>
      </c>
      <c r="J14" s="26" t="s">
        <v>662</v>
      </c>
      <c r="K14" s="26" t="s">
        <v>665</v>
      </c>
      <c r="L14" s="26" t="s">
        <v>100</v>
      </c>
      <c r="M14" s="26" t="s">
        <v>667</v>
      </c>
      <c r="N14" s="26" t="s">
        <v>100</v>
      </c>
      <c r="O14" s="26" t="s">
        <v>668</v>
      </c>
      <c r="P14" s="26" t="s">
        <v>670</v>
      </c>
      <c r="Q14" s="26" t="s">
        <v>671</v>
      </c>
      <c r="R14" s="26" t="s">
        <v>674</v>
      </c>
      <c r="S14" s="26" t="s">
        <v>676</v>
      </c>
      <c r="T14" s="26" t="s">
        <v>115</v>
      </c>
      <c r="U14" s="26" t="s">
        <v>420</v>
      </c>
      <c r="V14" s="26" t="s">
        <v>118</v>
      </c>
      <c r="W14" s="22">
        <v>2.0</v>
      </c>
      <c r="X14" s="22">
        <v>2.0</v>
      </c>
      <c r="Y14" s="22">
        <v>4.0</v>
      </c>
      <c r="Z14" s="22">
        <v>4.0</v>
      </c>
      <c r="AA14" s="22">
        <v>3.0</v>
      </c>
      <c r="AB14" s="22">
        <v>3.0</v>
      </c>
      <c r="AC14" s="22">
        <v>3.0</v>
      </c>
      <c r="AD14" s="22">
        <v>2.0</v>
      </c>
      <c r="AE14" s="28">
        <f t="shared" si="1"/>
        <v>23</v>
      </c>
      <c r="AF14" s="24" t="s">
        <v>303</v>
      </c>
      <c r="AG14" s="24" t="s">
        <v>698</v>
      </c>
      <c r="AH14" s="29" t="str">
        <f t="shared" si="2"/>
        <v>Complete</v>
      </c>
    </row>
    <row r="15" ht="324.0" customHeight="1">
      <c r="A15" s="26">
        <v>405.0</v>
      </c>
      <c r="B15" s="27" t="str">
        <f>HYPERLINK("https://github.com/pytorch-fdn/ambassador-program/issues/405","https://github.com/pytorch-fdn/ambassador-program/issues/405")</f>
        <v>https://github.com/pytorch-fdn/ambassador-program/issues/405</v>
      </c>
      <c r="C15" s="26" t="s">
        <v>718</v>
      </c>
      <c r="D15" s="26" t="s">
        <v>721</v>
      </c>
      <c r="E15" s="26" t="s">
        <v>723</v>
      </c>
      <c r="F15" s="26" t="s">
        <v>99</v>
      </c>
      <c r="G15" s="26" t="s">
        <v>100</v>
      </c>
      <c r="H15" s="26" t="s">
        <v>103</v>
      </c>
      <c r="I15" s="26" t="s">
        <v>100</v>
      </c>
      <c r="J15" s="26" t="s">
        <v>100</v>
      </c>
      <c r="K15" s="26" t="s">
        <v>728</v>
      </c>
      <c r="L15" s="26" t="s">
        <v>100</v>
      </c>
      <c r="M15" s="26" t="s">
        <v>730</v>
      </c>
      <c r="N15" s="26" t="s">
        <v>100</v>
      </c>
      <c r="O15" s="26" t="s">
        <v>328</v>
      </c>
      <c r="P15" s="26" t="s">
        <v>735</v>
      </c>
      <c r="Q15" s="26" t="s">
        <v>739</v>
      </c>
      <c r="R15" s="26" t="s">
        <v>743</v>
      </c>
      <c r="S15" s="26" t="s">
        <v>745</v>
      </c>
      <c r="T15" s="26" t="s">
        <v>348</v>
      </c>
      <c r="U15" s="26" t="s">
        <v>723</v>
      </c>
      <c r="V15" s="26" t="s">
        <v>748</v>
      </c>
      <c r="W15" s="22">
        <v>1.0</v>
      </c>
      <c r="X15" s="22">
        <v>1.0</v>
      </c>
      <c r="Y15" s="22">
        <v>1.0</v>
      </c>
      <c r="Z15" s="22">
        <v>1.0</v>
      </c>
      <c r="AA15" s="22">
        <v>2.0</v>
      </c>
      <c r="AB15" s="22">
        <v>2.0</v>
      </c>
      <c r="AC15" s="22">
        <v>2.0</v>
      </c>
      <c r="AD15" s="22">
        <v>1.0</v>
      </c>
      <c r="AE15" s="28">
        <f t="shared" si="1"/>
        <v>11</v>
      </c>
      <c r="AF15" s="24" t="s">
        <v>124</v>
      </c>
      <c r="AG15" s="24" t="s">
        <v>761</v>
      </c>
      <c r="AH15" s="29" t="str">
        <f t="shared" si="2"/>
        <v>Complete</v>
      </c>
    </row>
    <row r="16" ht="408.75" customHeight="1">
      <c r="A16" s="26">
        <v>401.0</v>
      </c>
      <c r="B16" s="27" t="str">
        <f>HYPERLINK("https://github.com/pytorch-fdn/ambassador-program/issues/401","https://github.com/pytorch-fdn/ambassador-program/issues/401")</f>
        <v>https://github.com/pytorch-fdn/ambassador-program/issues/401</v>
      </c>
      <c r="C16" s="26" t="s">
        <v>769</v>
      </c>
      <c r="D16" s="26" t="s">
        <v>770</v>
      </c>
      <c r="E16" s="26" t="s">
        <v>771</v>
      </c>
      <c r="F16" s="26" t="s">
        <v>261</v>
      </c>
      <c r="G16" s="26" t="s">
        <v>774</v>
      </c>
      <c r="H16" s="26" t="s">
        <v>98</v>
      </c>
      <c r="I16" s="26" t="s">
        <v>100</v>
      </c>
      <c r="J16" s="26" t="s">
        <v>776</v>
      </c>
      <c r="K16" s="26" t="s">
        <v>100</v>
      </c>
      <c r="L16" s="26" t="s">
        <v>778</v>
      </c>
      <c r="M16" s="26" t="s">
        <v>779</v>
      </c>
      <c r="N16" s="26" t="s">
        <v>100</v>
      </c>
      <c r="O16" s="26" t="s">
        <v>134</v>
      </c>
      <c r="P16" s="26" t="s">
        <v>783</v>
      </c>
      <c r="Q16" s="26" t="s">
        <v>787</v>
      </c>
      <c r="R16" s="26" t="s">
        <v>788</v>
      </c>
      <c r="S16" s="26" t="s">
        <v>144</v>
      </c>
      <c r="T16" s="26" t="s">
        <v>115</v>
      </c>
      <c r="U16" s="26" t="s">
        <v>791</v>
      </c>
      <c r="V16" s="26" t="s">
        <v>118</v>
      </c>
      <c r="W16" s="22">
        <v>3.0</v>
      </c>
      <c r="X16" s="22">
        <v>2.0</v>
      </c>
      <c r="Y16" s="22">
        <v>4.0</v>
      </c>
      <c r="Z16" s="22">
        <v>3.0</v>
      </c>
      <c r="AA16" s="22">
        <v>3.0</v>
      </c>
      <c r="AB16" s="22">
        <v>3.0</v>
      </c>
      <c r="AC16" s="22">
        <v>4.0</v>
      </c>
      <c r="AD16" s="22">
        <v>3.0</v>
      </c>
      <c r="AE16" s="28">
        <f t="shared" si="1"/>
        <v>25</v>
      </c>
      <c r="AF16" s="24" t="s">
        <v>195</v>
      </c>
      <c r="AG16" s="24" t="s">
        <v>800</v>
      </c>
      <c r="AH16" s="29" t="str">
        <f t="shared" si="2"/>
        <v>Complete</v>
      </c>
    </row>
    <row r="17" ht="324.0" customHeight="1">
      <c r="A17" s="26">
        <v>400.0</v>
      </c>
      <c r="B17" s="27" t="str">
        <f>HYPERLINK("https://github.com/pytorch-fdn/ambassador-program/issues/400","https://github.com/pytorch-fdn/ambassador-program/issues/400")</f>
        <v>https://github.com/pytorch-fdn/ambassador-program/issues/400</v>
      </c>
      <c r="C17" s="26" t="s">
        <v>809</v>
      </c>
      <c r="D17" s="26" t="s">
        <v>810</v>
      </c>
      <c r="E17" s="26" t="s">
        <v>811</v>
      </c>
      <c r="F17" s="26" t="s">
        <v>261</v>
      </c>
      <c r="G17" s="26" t="s">
        <v>814</v>
      </c>
      <c r="H17" s="26" t="s">
        <v>103</v>
      </c>
      <c r="I17" s="26" t="s">
        <v>100</v>
      </c>
      <c r="J17" s="26" t="s">
        <v>815</v>
      </c>
      <c r="K17" s="26" t="s">
        <v>100</v>
      </c>
      <c r="L17" s="26" t="s">
        <v>100</v>
      </c>
      <c r="M17" s="26" t="s">
        <v>334</v>
      </c>
      <c r="N17" s="26" t="s">
        <v>818</v>
      </c>
      <c r="O17" s="26" t="s">
        <v>820</v>
      </c>
      <c r="P17" s="26" t="s">
        <v>821</v>
      </c>
      <c r="Q17" s="26" t="s">
        <v>823</v>
      </c>
      <c r="R17" s="26" t="s">
        <v>825</v>
      </c>
      <c r="S17" s="26" t="s">
        <v>827</v>
      </c>
      <c r="T17" s="26" t="s">
        <v>198</v>
      </c>
      <c r="U17" s="26" t="s">
        <v>828</v>
      </c>
      <c r="V17" s="26" t="s">
        <v>118</v>
      </c>
      <c r="W17" s="22">
        <v>4.0</v>
      </c>
      <c r="X17" s="22">
        <v>3.0</v>
      </c>
      <c r="Y17" s="22">
        <v>4.0</v>
      </c>
      <c r="Z17" s="22">
        <v>2.0</v>
      </c>
      <c r="AA17" s="22">
        <v>4.0</v>
      </c>
      <c r="AB17" s="22">
        <v>3.0</v>
      </c>
      <c r="AC17" s="22">
        <v>2.0</v>
      </c>
      <c r="AD17" s="22">
        <v>2.0</v>
      </c>
      <c r="AE17" s="28">
        <f t="shared" si="1"/>
        <v>24</v>
      </c>
      <c r="AF17" s="24" t="s">
        <v>195</v>
      </c>
      <c r="AG17" s="24" t="s">
        <v>836</v>
      </c>
      <c r="AH17" s="29" t="str">
        <f t="shared" si="2"/>
        <v>Complete</v>
      </c>
    </row>
    <row r="18" ht="228.0" customHeight="1">
      <c r="A18" s="26">
        <v>397.0</v>
      </c>
      <c r="B18" s="27" t="str">
        <f>HYPERLINK("https://github.com/pytorch-fdn/ambassador-program/issues/397","https://github.com/pytorch-fdn/ambassador-program/issues/397")</f>
        <v>https://github.com/pytorch-fdn/ambassador-program/issues/397</v>
      </c>
      <c r="C18" s="26" t="s">
        <v>848</v>
      </c>
      <c r="D18" s="26" t="s">
        <v>849</v>
      </c>
      <c r="E18" s="26" t="s">
        <v>851</v>
      </c>
      <c r="F18" s="26" t="s">
        <v>95</v>
      </c>
      <c r="G18" s="26" t="s">
        <v>853</v>
      </c>
      <c r="H18" s="26" t="s">
        <v>103</v>
      </c>
      <c r="I18" s="26" t="s">
        <v>100</v>
      </c>
      <c r="J18" s="26" t="s">
        <v>855</v>
      </c>
      <c r="K18" s="26" t="s">
        <v>856</v>
      </c>
      <c r="L18" s="26" t="s">
        <v>100</v>
      </c>
      <c r="M18" s="26" t="s">
        <v>106</v>
      </c>
      <c r="N18" s="26" t="s">
        <v>100</v>
      </c>
      <c r="O18" s="26" t="s">
        <v>556</v>
      </c>
      <c r="P18" s="26" t="s">
        <v>859</v>
      </c>
      <c r="Q18" s="26" t="s">
        <v>860</v>
      </c>
      <c r="R18" s="26" t="s">
        <v>861</v>
      </c>
      <c r="S18" s="26" t="s">
        <v>862</v>
      </c>
      <c r="T18" s="26" t="s">
        <v>115</v>
      </c>
      <c r="U18" s="26" t="s">
        <v>866</v>
      </c>
      <c r="V18" s="26" t="s">
        <v>868</v>
      </c>
      <c r="W18" s="22">
        <v>4.0</v>
      </c>
      <c r="X18" s="22">
        <v>4.0</v>
      </c>
      <c r="Y18" s="22">
        <v>4.0</v>
      </c>
      <c r="Z18" s="22">
        <v>4.0</v>
      </c>
      <c r="AA18" s="22">
        <v>4.0</v>
      </c>
      <c r="AB18" s="22">
        <v>4.0</v>
      </c>
      <c r="AC18" s="22">
        <v>4.0</v>
      </c>
      <c r="AD18" s="22">
        <v>4.0</v>
      </c>
      <c r="AE18" s="28">
        <f t="shared" si="1"/>
        <v>32</v>
      </c>
      <c r="AF18" s="24" t="s">
        <v>164</v>
      </c>
      <c r="AG18" s="24" t="s">
        <v>883</v>
      </c>
      <c r="AH18" s="29" t="str">
        <f t="shared" si="2"/>
        <v>Complete</v>
      </c>
    </row>
    <row r="19" ht="180.0" customHeight="1">
      <c r="A19" s="26">
        <v>393.0</v>
      </c>
      <c r="B19" s="27" t="str">
        <f>HYPERLINK("https://github.com/pytorch-fdn/ambassador-program/issues/393","https://github.com/pytorch-fdn/ambassador-program/issues/393")</f>
        <v>https://github.com/pytorch-fdn/ambassador-program/issues/393</v>
      </c>
      <c r="C19" s="26" t="s">
        <v>839</v>
      </c>
      <c r="D19" s="26" t="s">
        <v>840</v>
      </c>
      <c r="E19" s="26" t="s">
        <v>842</v>
      </c>
      <c r="F19" s="26" t="s">
        <v>99</v>
      </c>
      <c r="G19" s="26" t="s">
        <v>844</v>
      </c>
      <c r="H19" s="26" t="s">
        <v>103</v>
      </c>
      <c r="I19" s="26" t="s">
        <v>100</v>
      </c>
      <c r="J19" s="26" t="s">
        <v>846</v>
      </c>
      <c r="K19" s="26" t="s">
        <v>100</v>
      </c>
      <c r="L19" s="26" t="s">
        <v>100</v>
      </c>
      <c r="M19" s="26" t="s">
        <v>162</v>
      </c>
      <c r="N19" s="26" t="s">
        <v>100</v>
      </c>
      <c r="O19" s="26" t="s">
        <v>377</v>
      </c>
      <c r="P19" s="26" t="s">
        <v>847</v>
      </c>
      <c r="Q19" s="26" t="s">
        <v>850</v>
      </c>
      <c r="R19" s="26" t="s">
        <v>852</v>
      </c>
      <c r="S19" s="26" t="s">
        <v>399</v>
      </c>
      <c r="T19" s="26" t="s">
        <v>121</v>
      </c>
      <c r="U19" s="26" t="s">
        <v>854</v>
      </c>
      <c r="V19" s="26" t="s">
        <v>118</v>
      </c>
      <c r="W19" s="22">
        <v>3.0</v>
      </c>
      <c r="X19" s="22">
        <v>3.0</v>
      </c>
      <c r="Y19" s="22">
        <v>2.0</v>
      </c>
      <c r="Z19" s="22">
        <v>2.0</v>
      </c>
      <c r="AA19" s="22">
        <v>3.0</v>
      </c>
      <c r="AB19" s="22">
        <v>3.0</v>
      </c>
      <c r="AC19" s="22">
        <v>3.0</v>
      </c>
      <c r="AD19" s="22">
        <v>3.0</v>
      </c>
      <c r="AE19" s="28">
        <f t="shared" si="1"/>
        <v>22</v>
      </c>
      <c r="AF19" s="24" t="s">
        <v>303</v>
      </c>
      <c r="AG19" s="24" t="s">
        <v>904</v>
      </c>
      <c r="AH19" s="29" t="str">
        <f t="shared" si="2"/>
        <v>Complete</v>
      </c>
    </row>
    <row r="20" ht="126.0" customHeight="1">
      <c r="A20" s="26">
        <v>390.0</v>
      </c>
      <c r="B20" s="27" t="str">
        <f>HYPERLINK("https://github.com/pytorch-fdn/ambassador-program/issues/390","https://github.com/pytorch-fdn/ambassador-program/issues/390")</f>
        <v>https://github.com/pytorch-fdn/ambassador-program/issues/390</v>
      </c>
      <c r="C20" s="26" t="s">
        <v>872</v>
      </c>
      <c r="D20" s="26" t="s">
        <v>873</v>
      </c>
      <c r="E20" s="26" t="s">
        <v>874</v>
      </c>
      <c r="F20" s="26" t="s">
        <v>99</v>
      </c>
      <c r="G20" s="26" t="s">
        <v>875</v>
      </c>
      <c r="H20" s="26" t="s">
        <v>103</v>
      </c>
      <c r="I20" s="26" t="s">
        <v>100</v>
      </c>
      <c r="J20" s="26" t="s">
        <v>876</v>
      </c>
      <c r="K20" s="26" t="s">
        <v>100</v>
      </c>
      <c r="L20" s="26" t="s">
        <v>100</v>
      </c>
      <c r="M20" s="26" t="s">
        <v>108</v>
      </c>
      <c r="N20" s="26" t="s">
        <v>100</v>
      </c>
      <c r="O20" s="26" t="s">
        <v>881</v>
      </c>
      <c r="P20" s="26" t="s">
        <v>882</v>
      </c>
      <c r="Q20" s="26" t="s">
        <v>884</v>
      </c>
      <c r="R20" s="26" t="s">
        <v>886</v>
      </c>
      <c r="S20" s="26" t="s">
        <v>887</v>
      </c>
      <c r="T20" s="26" t="s">
        <v>115</v>
      </c>
      <c r="U20" s="26" t="s">
        <v>117</v>
      </c>
      <c r="V20" s="26" t="s">
        <v>118</v>
      </c>
      <c r="W20" s="22">
        <v>1.0</v>
      </c>
      <c r="X20" s="22">
        <v>1.0</v>
      </c>
      <c r="Y20" s="22">
        <v>1.0</v>
      </c>
      <c r="Z20" s="22">
        <v>1.0</v>
      </c>
      <c r="AA20" s="22">
        <v>2.0</v>
      </c>
      <c r="AB20" s="22">
        <v>2.0</v>
      </c>
      <c r="AC20" s="22">
        <v>1.0</v>
      </c>
      <c r="AD20" s="22">
        <v>1.0</v>
      </c>
      <c r="AE20" s="28">
        <f t="shared" si="1"/>
        <v>10</v>
      </c>
      <c r="AF20" s="24" t="s">
        <v>124</v>
      </c>
      <c r="AG20" s="24" t="s">
        <v>912</v>
      </c>
      <c r="AH20" s="29" t="str">
        <f t="shared" si="2"/>
        <v>Complete</v>
      </c>
    </row>
    <row r="21" ht="300.0" customHeight="1">
      <c r="A21" s="26">
        <v>387.0</v>
      </c>
      <c r="B21" s="27" t="str">
        <f>HYPERLINK("https://github.com/pytorch-fdn/ambassador-program/issues/387","https://github.com/pytorch-fdn/ambassador-program/issues/387")</f>
        <v>https://github.com/pytorch-fdn/ambassador-program/issues/387</v>
      </c>
      <c r="C21" s="26" t="s">
        <v>918</v>
      </c>
      <c r="D21" s="26" t="s">
        <v>920</v>
      </c>
      <c r="E21" s="26" t="s">
        <v>922</v>
      </c>
      <c r="F21" s="26" t="s">
        <v>99</v>
      </c>
      <c r="G21" s="26" t="s">
        <v>924</v>
      </c>
      <c r="H21" s="26" t="s">
        <v>103</v>
      </c>
      <c r="I21" s="26" t="s">
        <v>100</v>
      </c>
      <c r="J21" s="26" t="s">
        <v>928</v>
      </c>
      <c r="K21" s="26" t="s">
        <v>100</v>
      </c>
      <c r="L21" s="26" t="s">
        <v>100</v>
      </c>
      <c r="M21" s="26" t="s">
        <v>162</v>
      </c>
      <c r="N21" s="26" t="s">
        <v>100</v>
      </c>
      <c r="O21" s="26" t="s">
        <v>929</v>
      </c>
      <c r="P21" s="26" t="s">
        <v>931</v>
      </c>
      <c r="Q21" s="26" t="s">
        <v>934</v>
      </c>
      <c r="R21" s="26" t="s">
        <v>937</v>
      </c>
      <c r="S21" s="26" t="s">
        <v>144</v>
      </c>
      <c r="T21" s="26" t="s">
        <v>115</v>
      </c>
      <c r="U21" s="26" t="s">
        <v>922</v>
      </c>
      <c r="V21" s="26" t="s">
        <v>939</v>
      </c>
      <c r="W21" s="22">
        <v>1.0</v>
      </c>
      <c r="X21" s="22">
        <v>1.0</v>
      </c>
      <c r="Y21" s="22">
        <v>1.0</v>
      </c>
      <c r="Z21" s="22">
        <v>1.0</v>
      </c>
      <c r="AA21" s="22">
        <v>2.0</v>
      </c>
      <c r="AB21" s="22">
        <v>2.0</v>
      </c>
      <c r="AC21" s="22">
        <v>2.0</v>
      </c>
      <c r="AD21" s="22">
        <v>1.0</v>
      </c>
      <c r="AE21" s="28">
        <f t="shared" si="1"/>
        <v>11</v>
      </c>
      <c r="AF21" s="24" t="s">
        <v>124</v>
      </c>
      <c r="AG21" s="24" t="s">
        <v>946</v>
      </c>
      <c r="AH21" s="29" t="str">
        <f t="shared" si="2"/>
        <v>Complete</v>
      </c>
    </row>
    <row r="22" ht="408.75" customHeight="1">
      <c r="A22" s="26">
        <v>384.0</v>
      </c>
      <c r="B22" s="27" t="str">
        <f>HYPERLINK("https://github.com/pytorch-fdn/ambassador-program/issues/384","https://github.com/pytorch-fdn/ambassador-program/issues/384")</f>
        <v>https://github.com/pytorch-fdn/ambassador-program/issues/384</v>
      </c>
      <c r="C22" s="26" t="s">
        <v>644</v>
      </c>
      <c r="D22" s="26" t="s">
        <v>645</v>
      </c>
      <c r="E22" s="26" t="s">
        <v>646</v>
      </c>
      <c r="F22" s="26" t="s">
        <v>175</v>
      </c>
      <c r="G22" s="26" t="s">
        <v>648</v>
      </c>
      <c r="H22" s="26" t="s">
        <v>103</v>
      </c>
      <c r="I22" s="26" t="s">
        <v>651</v>
      </c>
      <c r="J22" s="26" t="s">
        <v>653</v>
      </c>
      <c r="K22" s="26" t="s">
        <v>655</v>
      </c>
      <c r="L22" s="26" t="s">
        <v>100</v>
      </c>
      <c r="M22" s="26" t="s">
        <v>162</v>
      </c>
      <c r="N22" s="26" t="s">
        <v>100</v>
      </c>
      <c r="O22" s="26" t="s">
        <v>658</v>
      </c>
      <c r="P22" s="26" t="s">
        <v>663</v>
      </c>
      <c r="Q22" s="26" t="s">
        <v>666</v>
      </c>
      <c r="R22" s="26" t="s">
        <v>669</v>
      </c>
      <c r="S22" s="26" t="s">
        <v>564</v>
      </c>
      <c r="T22" s="26" t="s">
        <v>115</v>
      </c>
      <c r="U22" s="26" t="s">
        <v>117</v>
      </c>
      <c r="V22" s="26" t="s">
        <v>118</v>
      </c>
      <c r="W22" s="22">
        <v>1.0</v>
      </c>
      <c r="X22" s="22">
        <v>1.0</v>
      </c>
      <c r="Y22" s="22">
        <v>2.0</v>
      </c>
      <c r="Z22" s="22">
        <v>2.0</v>
      </c>
      <c r="AA22" s="22">
        <v>3.0</v>
      </c>
      <c r="AB22" s="22">
        <v>3.0</v>
      </c>
      <c r="AC22" s="22">
        <v>3.0</v>
      </c>
      <c r="AD22" s="22">
        <v>2.0</v>
      </c>
      <c r="AE22" s="28">
        <f t="shared" si="1"/>
        <v>17</v>
      </c>
      <c r="AF22" s="24" t="s">
        <v>303</v>
      </c>
      <c r="AG22" s="24" t="s">
        <v>963</v>
      </c>
      <c r="AH22" s="29" t="str">
        <f t="shared" si="2"/>
        <v>Complete</v>
      </c>
    </row>
    <row r="23" ht="126.0" customHeight="1">
      <c r="A23" s="26">
        <v>365.0</v>
      </c>
      <c r="B23" s="27" t="str">
        <f>HYPERLINK("https://github.com/pytorch-fdn/ambassador-program/issues/365","https://github.com/pytorch-fdn/ambassador-program/issues/365")</f>
        <v>https://github.com/pytorch-fdn/ambassador-program/issues/365</v>
      </c>
      <c r="C23" s="26" t="s">
        <v>974</v>
      </c>
      <c r="D23" s="26" t="s">
        <v>975</v>
      </c>
      <c r="E23" s="26" t="s">
        <v>652</v>
      </c>
      <c r="F23" s="26" t="s">
        <v>261</v>
      </c>
      <c r="G23" s="26" t="s">
        <v>977</v>
      </c>
      <c r="H23" s="26" t="s">
        <v>103</v>
      </c>
      <c r="I23" s="26" t="s">
        <v>100</v>
      </c>
      <c r="J23" s="26" t="s">
        <v>981</v>
      </c>
      <c r="K23" s="26" t="s">
        <v>983</v>
      </c>
      <c r="L23" s="26" t="s">
        <v>100</v>
      </c>
      <c r="M23" s="26" t="s">
        <v>108</v>
      </c>
      <c r="N23" s="26" t="s">
        <v>100</v>
      </c>
      <c r="O23" s="26" t="s">
        <v>988</v>
      </c>
      <c r="P23" s="26" t="s">
        <v>991</v>
      </c>
      <c r="Q23" s="26" t="s">
        <v>992</v>
      </c>
      <c r="R23" s="26" t="s">
        <v>993</v>
      </c>
      <c r="S23" s="26" t="s">
        <v>995</v>
      </c>
      <c r="T23" s="26" t="s">
        <v>115</v>
      </c>
      <c r="U23" s="26" t="s">
        <v>420</v>
      </c>
      <c r="V23" s="26" t="s">
        <v>118</v>
      </c>
      <c r="W23" s="22">
        <v>1.0</v>
      </c>
      <c r="X23" s="22">
        <v>1.0</v>
      </c>
      <c r="Y23" s="22">
        <v>1.0</v>
      </c>
      <c r="Z23" s="22">
        <v>1.0</v>
      </c>
      <c r="AA23" s="22">
        <v>2.0</v>
      </c>
      <c r="AB23" s="22">
        <v>2.0</v>
      </c>
      <c r="AC23" s="22">
        <v>1.0</v>
      </c>
      <c r="AD23" s="22">
        <v>1.0</v>
      </c>
      <c r="AE23" s="28">
        <f t="shared" si="1"/>
        <v>10</v>
      </c>
      <c r="AF23" s="24" t="s">
        <v>124</v>
      </c>
      <c r="AG23" s="24" t="s">
        <v>996</v>
      </c>
      <c r="AH23" s="29" t="str">
        <f t="shared" si="2"/>
        <v>Complete</v>
      </c>
    </row>
    <row r="24" ht="180.0" customHeight="1">
      <c r="A24" s="26">
        <v>364.0</v>
      </c>
      <c r="B24" s="27" t="str">
        <f>HYPERLINK("https://github.com/pytorch-fdn/ambassador-program/issues/364","https://github.com/pytorch-fdn/ambassador-program/issues/364")</f>
        <v>https://github.com/pytorch-fdn/ambassador-program/issues/364</v>
      </c>
      <c r="C24" s="26" t="s">
        <v>725</v>
      </c>
      <c r="D24" s="26" t="s">
        <v>726</v>
      </c>
      <c r="E24" s="26" t="s">
        <v>727</v>
      </c>
      <c r="F24" s="26" t="s">
        <v>95</v>
      </c>
      <c r="G24" s="26" t="s">
        <v>729</v>
      </c>
      <c r="H24" s="26" t="s">
        <v>103</v>
      </c>
      <c r="I24" s="26" t="s">
        <v>100</v>
      </c>
      <c r="J24" s="26" t="s">
        <v>731</v>
      </c>
      <c r="K24" s="26" t="s">
        <v>100</v>
      </c>
      <c r="L24" s="26" t="s">
        <v>100</v>
      </c>
      <c r="M24" s="26" t="s">
        <v>162</v>
      </c>
      <c r="N24" s="26" t="s">
        <v>100</v>
      </c>
      <c r="O24" s="26" t="s">
        <v>658</v>
      </c>
      <c r="P24" s="26" t="s">
        <v>736</v>
      </c>
      <c r="Q24" s="26" t="s">
        <v>738</v>
      </c>
      <c r="R24" s="26" t="s">
        <v>741</v>
      </c>
      <c r="S24" s="26" t="s">
        <v>742</v>
      </c>
      <c r="T24" s="26" t="s">
        <v>158</v>
      </c>
      <c r="U24" s="26" t="s">
        <v>160</v>
      </c>
      <c r="V24" s="26" t="s">
        <v>118</v>
      </c>
      <c r="W24" s="22">
        <v>2.0</v>
      </c>
      <c r="X24" s="22">
        <v>1.0</v>
      </c>
      <c r="Y24" s="22">
        <v>3.0</v>
      </c>
      <c r="Z24" s="22">
        <v>3.0</v>
      </c>
      <c r="AA24" s="22">
        <v>2.0</v>
      </c>
      <c r="AB24" s="22">
        <v>2.0</v>
      </c>
      <c r="AC24" s="22">
        <v>3.0</v>
      </c>
      <c r="AD24" s="22">
        <v>2.0</v>
      </c>
      <c r="AE24" s="28">
        <f t="shared" si="1"/>
        <v>18</v>
      </c>
      <c r="AF24" s="24" t="s">
        <v>303</v>
      </c>
      <c r="AG24" s="24" t="s">
        <v>1014</v>
      </c>
      <c r="AH24" s="29" t="str">
        <f t="shared" si="2"/>
        <v>Complete</v>
      </c>
    </row>
    <row r="25" ht="408.75" customHeight="1">
      <c r="A25" s="26">
        <v>363.0</v>
      </c>
      <c r="B25" s="27" t="str">
        <f>HYPERLINK("https://github.com/pytorch-fdn/ambassador-program/issues/363","https://github.com/pytorch-fdn/ambassador-program/issues/363")</f>
        <v>https://github.com/pytorch-fdn/ambassador-program/issues/363</v>
      </c>
      <c r="C25" s="26" t="s">
        <v>1020</v>
      </c>
      <c r="D25" s="26" t="s">
        <v>1021</v>
      </c>
      <c r="E25" s="26" t="s">
        <v>1022</v>
      </c>
      <c r="F25" s="26" t="s">
        <v>261</v>
      </c>
      <c r="G25" s="26" t="s">
        <v>1023</v>
      </c>
      <c r="H25" s="26" t="s">
        <v>103</v>
      </c>
      <c r="I25" s="26" t="s">
        <v>100</v>
      </c>
      <c r="J25" s="26" t="s">
        <v>1026</v>
      </c>
      <c r="K25" s="26" t="s">
        <v>100</v>
      </c>
      <c r="L25" s="26" t="s">
        <v>100</v>
      </c>
      <c r="M25" s="26" t="s">
        <v>106</v>
      </c>
      <c r="N25" s="26" t="s">
        <v>100</v>
      </c>
      <c r="O25" s="26" t="s">
        <v>1028</v>
      </c>
      <c r="P25" s="26" t="s">
        <v>1032</v>
      </c>
      <c r="Q25" s="26" t="s">
        <v>1034</v>
      </c>
      <c r="R25" s="26" t="s">
        <v>1037</v>
      </c>
      <c r="S25" s="26" t="s">
        <v>549</v>
      </c>
      <c r="T25" s="26" t="s">
        <v>158</v>
      </c>
      <c r="U25" s="26" t="s">
        <v>1042</v>
      </c>
      <c r="V25" s="26" t="s">
        <v>1044</v>
      </c>
      <c r="W25" s="22">
        <v>2.0</v>
      </c>
      <c r="X25" s="22">
        <v>1.0</v>
      </c>
      <c r="Y25" s="22">
        <v>3.0</v>
      </c>
      <c r="Z25" s="22">
        <v>3.0</v>
      </c>
      <c r="AA25" s="22">
        <v>3.0</v>
      </c>
      <c r="AB25" s="22">
        <v>3.0</v>
      </c>
      <c r="AC25" s="22">
        <v>3.0</v>
      </c>
      <c r="AD25" s="22">
        <v>3.0</v>
      </c>
      <c r="AE25" s="28">
        <f t="shared" si="1"/>
        <v>21</v>
      </c>
      <c r="AF25" s="24" t="s">
        <v>303</v>
      </c>
      <c r="AG25" s="24" t="s">
        <v>1048</v>
      </c>
      <c r="AH25" s="29" t="str">
        <f t="shared" si="2"/>
        <v>Complete</v>
      </c>
    </row>
    <row r="26" ht="408.75" customHeight="1">
      <c r="A26" s="26">
        <v>347.0</v>
      </c>
      <c r="B26" s="27" t="str">
        <f>HYPERLINK("https://github.com/pytorch-fdn/ambassador-program/issues/347","https://github.com/pytorch-fdn/ambassador-program/issues/347")</f>
        <v>https://github.com/pytorch-fdn/ambassador-program/issues/347</v>
      </c>
      <c r="C26" s="26" t="s">
        <v>1054</v>
      </c>
      <c r="D26" s="26" t="s">
        <v>1055</v>
      </c>
      <c r="E26" s="26" t="s">
        <v>1056</v>
      </c>
      <c r="F26" s="26" t="s">
        <v>95</v>
      </c>
      <c r="G26" s="26" t="s">
        <v>1057</v>
      </c>
      <c r="H26" s="26" t="s">
        <v>103</v>
      </c>
      <c r="I26" s="26" t="s">
        <v>100</v>
      </c>
      <c r="J26" s="26" t="s">
        <v>1058</v>
      </c>
      <c r="K26" s="26" t="s">
        <v>100</v>
      </c>
      <c r="L26" s="26" t="s">
        <v>100</v>
      </c>
      <c r="M26" s="26" t="s">
        <v>1059</v>
      </c>
      <c r="N26" s="26" t="s">
        <v>1060</v>
      </c>
      <c r="O26" s="26" t="s">
        <v>1061</v>
      </c>
      <c r="P26" s="26" t="s">
        <v>1062</v>
      </c>
      <c r="Q26" s="26" t="s">
        <v>1063</v>
      </c>
      <c r="R26" s="26" t="s">
        <v>1066</v>
      </c>
      <c r="S26" s="26" t="s">
        <v>1068</v>
      </c>
      <c r="T26" s="26" t="s">
        <v>115</v>
      </c>
      <c r="U26" s="26" t="s">
        <v>866</v>
      </c>
      <c r="V26" s="26" t="s">
        <v>118</v>
      </c>
      <c r="W26" s="22">
        <v>3.0</v>
      </c>
      <c r="X26" s="22">
        <v>2.0</v>
      </c>
      <c r="Y26" s="22">
        <v>3.0</v>
      </c>
      <c r="Z26" s="22">
        <v>3.0</v>
      </c>
      <c r="AA26" s="22">
        <v>3.0</v>
      </c>
      <c r="AB26" s="22">
        <v>3.0</v>
      </c>
      <c r="AC26" s="22">
        <v>4.0</v>
      </c>
      <c r="AD26" s="22">
        <v>3.0</v>
      </c>
      <c r="AE26" s="28">
        <f t="shared" si="1"/>
        <v>24</v>
      </c>
      <c r="AF26" s="24" t="s">
        <v>195</v>
      </c>
      <c r="AG26" s="24" t="s">
        <v>1073</v>
      </c>
      <c r="AH26" s="29" t="str">
        <f t="shared" si="2"/>
        <v>Complete</v>
      </c>
    </row>
    <row r="27" ht="408.0" customHeight="1">
      <c r="A27" s="26">
        <v>341.0</v>
      </c>
      <c r="B27" s="27" t="str">
        <f>HYPERLINK("https://github.com/pytorch-fdn/ambassador-program/issues/341","https://github.com/pytorch-fdn/ambassador-program/issues/341")</f>
        <v>https://github.com/pytorch-fdn/ambassador-program/issues/341</v>
      </c>
      <c r="C27" s="26" t="s">
        <v>1077</v>
      </c>
      <c r="D27" s="26" t="s">
        <v>1079</v>
      </c>
      <c r="E27" s="26" t="s">
        <v>1080</v>
      </c>
      <c r="F27" s="26" t="s">
        <v>95</v>
      </c>
      <c r="G27" s="26" t="s">
        <v>1081</v>
      </c>
      <c r="H27" s="26" t="s">
        <v>103</v>
      </c>
      <c r="I27" s="26" t="s">
        <v>100</v>
      </c>
      <c r="J27" s="26" t="s">
        <v>1082</v>
      </c>
      <c r="K27" s="26" t="s">
        <v>100</v>
      </c>
      <c r="L27" s="26" t="s">
        <v>100</v>
      </c>
      <c r="M27" s="26" t="s">
        <v>108</v>
      </c>
      <c r="N27" s="26" t="s">
        <v>100</v>
      </c>
      <c r="O27" s="26" t="s">
        <v>488</v>
      </c>
      <c r="P27" s="26" t="s">
        <v>1083</v>
      </c>
      <c r="Q27" s="26" t="s">
        <v>1084</v>
      </c>
      <c r="R27" s="26" t="s">
        <v>1085</v>
      </c>
      <c r="S27" s="26" t="s">
        <v>1086</v>
      </c>
      <c r="T27" s="26" t="s">
        <v>121</v>
      </c>
      <c r="U27" s="26" t="s">
        <v>854</v>
      </c>
      <c r="V27" s="26" t="s">
        <v>1087</v>
      </c>
      <c r="W27" s="22">
        <v>3.0</v>
      </c>
      <c r="X27" s="22">
        <v>2.0</v>
      </c>
      <c r="Y27" s="22">
        <v>3.0</v>
      </c>
      <c r="Z27" s="22">
        <v>3.0</v>
      </c>
      <c r="AA27" s="22">
        <v>3.0</v>
      </c>
      <c r="AB27" s="22">
        <v>3.0</v>
      </c>
      <c r="AC27" s="22">
        <v>4.0</v>
      </c>
      <c r="AD27" s="22">
        <v>3.0</v>
      </c>
      <c r="AE27" s="28">
        <f t="shared" si="1"/>
        <v>24</v>
      </c>
      <c r="AF27" s="24" t="s">
        <v>195</v>
      </c>
      <c r="AG27" s="24" t="s">
        <v>1088</v>
      </c>
      <c r="AH27" s="29" t="str">
        <f t="shared" si="2"/>
        <v>Complete</v>
      </c>
    </row>
    <row r="28" ht="408.75" customHeight="1">
      <c r="A28" s="26">
        <v>329.0</v>
      </c>
      <c r="B28" s="27" t="str">
        <f>HYPERLINK("https://github.com/pytorch-fdn/ambassador-program/issues/329","https://github.com/pytorch-fdn/ambassador-program/issues/329")</f>
        <v>https://github.com/pytorch-fdn/ambassador-program/issues/329</v>
      </c>
      <c r="C28" s="26" t="s">
        <v>1036</v>
      </c>
      <c r="D28" s="26" t="s">
        <v>1038</v>
      </c>
      <c r="E28" s="26" t="s">
        <v>1040</v>
      </c>
      <c r="F28" s="26" t="s">
        <v>261</v>
      </c>
      <c r="G28" s="26" t="s">
        <v>1041</v>
      </c>
      <c r="H28" s="26" t="s">
        <v>103</v>
      </c>
      <c r="I28" s="26" t="s">
        <v>100</v>
      </c>
      <c r="J28" s="26" t="s">
        <v>1043</v>
      </c>
      <c r="K28" s="26" t="s">
        <v>100</v>
      </c>
      <c r="L28" s="26" t="s">
        <v>100</v>
      </c>
      <c r="M28" s="26" t="s">
        <v>108</v>
      </c>
      <c r="N28" s="26" t="s">
        <v>100</v>
      </c>
      <c r="O28" s="26" t="s">
        <v>1045</v>
      </c>
      <c r="P28" s="26" t="s">
        <v>1046</v>
      </c>
      <c r="Q28" s="26" t="s">
        <v>1047</v>
      </c>
      <c r="R28" s="26" t="s">
        <v>1050</v>
      </c>
      <c r="S28" s="26" t="s">
        <v>1051</v>
      </c>
      <c r="T28" s="26" t="s">
        <v>348</v>
      </c>
      <c r="U28" s="26" t="s">
        <v>1052</v>
      </c>
      <c r="V28" s="26" t="s">
        <v>1053</v>
      </c>
      <c r="W28" s="22">
        <v>2.0</v>
      </c>
      <c r="X28" s="22">
        <v>2.0</v>
      </c>
      <c r="Y28" s="22">
        <v>3.0</v>
      </c>
      <c r="Z28" s="22">
        <v>3.0</v>
      </c>
      <c r="AA28" s="22">
        <v>3.0</v>
      </c>
      <c r="AB28" s="22">
        <v>3.0</v>
      </c>
      <c r="AC28" s="22">
        <v>3.0</v>
      </c>
      <c r="AD28" s="22">
        <v>3.0</v>
      </c>
      <c r="AE28" s="28">
        <f t="shared" si="1"/>
        <v>22</v>
      </c>
      <c r="AF28" s="24" t="s">
        <v>303</v>
      </c>
      <c r="AG28" s="24" t="s">
        <v>1089</v>
      </c>
      <c r="AH28" s="29" t="str">
        <f t="shared" si="2"/>
        <v>Complete</v>
      </c>
    </row>
    <row r="29" ht="360.0" customHeight="1">
      <c r="A29" s="32">
        <v>328.0</v>
      </c>
      <c r="B29" s="33" t="str">
        <f>HYPERLINK("https://github.com/pytorch-fdn/ambassador-program/issues/328","https://github.com/pytorch-fdn/ambassador-program/issues/328")</f>
        <v>https://github.com/pytorch-fdn/ambassador-program/issues/328</v>
      </c>
      <c r="C29" s="32" t="s">
        <v>1090</v>
      </c>
      <c r="D29" s="32" t="s">
        <v>1091</v>
      </c>
      <c r="E29" s="32" t="s">
        <v>1092</v>
      </c>
      <c r="F29" s="32" t="s">
        <v>175</v>
      </c>
      <c r="G29" s="32" t="s">
        <v>1093</v>
      </c>
      <c r="H29" s="32" t="s">
        <v>98</v>
      </c>
      <c r="I29" s="32" t="s">
        <v>100</v>
      </c>
      <c r="J29" s="32" t="s">
        <v>1094</v>
      </c>
      <c r="K29" s="32" t="s">
        <v>100</v>
      </c>
      <c r="L29" s="32" t="s">
        <v>1095</v>
      </c>
      <c r="M29" s="32" t="s">
        <v>500</v>
      </c>
      <c r="N29" s="32" t="s">
        <v>100</v>
      </c>
      <c r="O29" s="32" t="s">
        <v>658</v>
      </c>
      <c r="P29" s="32" t="s">
        <v>1096</v>
      </c>
      <c r="Q29" s="32" t="s">
        <v>1097</v>
      </c>
      <c r="R29" s="32" t="s">
        <v>1098</v>
      </c>
      <c r="S29" s="32" t="s">
        <v>777</v>
      </c>
      <c r="T29" s="32" t="s">
        <v>551</v>
      </c>
      <c r="U29" s="32" t="s">
        <v>1099</v>
      </c>
      <c r="V29" s="32" t="s">
        <v>1100</v>
      </c>
      <c r="W29" s="22">
        <v>2.0</v>
      </c>
      <c r="X29" s="22">
        <v>2.0</v>
      </c>
      <c r="Y29" s="22">
        <v>4.0</v>
      </c>
      <c r="Z29" s="22">
        <v>3.0</v>
      </c>
      <c r="AA29" s="22">
        <v>3.0</v>
      </c>
      <c r="AB29" s="22">
        <v>3.0</v>
      </c>
      <c r="AC29" s="22">
        <v>4.0</v>
      </c>
      <c r="AD29" s="22">
        <v>3.0</v>
      </c>
      <c r="AE29" s="34">
        <f t="shared" si="1"/>
        <v>24</v>
      </c>
      <c r="AF29" s="24" t="s">
        <v>195</v>
      </c>
      <c r="AG29" s="24" t="s">
        <v>1101</v>
      </c>
      <c r="AH29" s="35" t="str">
        <f t="shared" si="2"/>
        <v>Complete</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149</v>
      </c>
    </row>
    <row r="2" ht="27.75" customHeight="1">
      <c r="A2" s="2" t="s">
        <v>51</v>
      </c>
    </row>
    <row r="3">
      <c r="A3" s="14" t="s">
        <v>53</v>
      </c>
      <c r="W3" s="15" t="s">
        <v>54</v>
      </c>
    </row>
    <row r="4" ht="91.5"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6" t="s">
        <v>85</v>
      </c>
      <c r="AE4" s="19" t="s">
        <v>86</v>
      </c>
      <c r="AF4" s="16" t="s">
        <v>87</v>
      </c>
      <c r="AG4" s="16" t="s">
        <v>88</v>
      </c>
      <c r="AH4" s="19" t="s">
        <v>89</v>
      </c>
    </row>
    <row r="5" ht="126.0" customHeight="1">
      <c r="A5" s="20">
        <v>468.0</v>
      </c>
      <c r="B5" s="21" t="str">
        <f>HYPERLINK("https://github.com/pytorch-fdn/ambassador-program/issues/468","https://github.com/pytorch-fdn/ambassador-program/issues/468")</f>
        <v>https://github.com/pytorch-fdn/ambassador-program/issues/468</v>
      </c>
      <c r="C5" s="20" t="s">
        <v>190</v>
      </c>
      <c r="D5" s="20" t="s">
        <v>191</v>
      </c>
      <c r="E5" s="20" t="s">
        <v>192</v>
      </c>
      <c r="F5" s="20" t="s">
        <v>99</v>
      </c>
      <c r="G5" s="20" t="s">
        <v>100</v>
      </c>
      <c r="H5" s="20" t="s">
        <v>103</v>
      </c>
      <c r="I5" s="20" t="s">
        <v>100</v>
      </c>
      <c r="J5" s="20" t="s">
        <v>100</v>
      </c>
      <c r="K5" s="20" t="s">
        <v>100</v>
      </c>
      <c r="L5" s="20" t="s">
        <v>100</v>
      </c>
      <c r="M5" s="20" t="s">
        <v>162</v>
      </c>
      <c r="N5" s="20" t="s">
        <v>100</v>
      </c>
      <c r="O5" s="20" t="s">
        <v>201</v>
      </c>
      <c r="P5" s="20" t="s">
        <v>202</v>
      </c>
      <c r="Q5" s="20" t="s">
        <v>203</v>
      </c>
      <c r="R5" s="20" t="s">
        <v>204</v>
      </c>
      <c r="S5" s="20" t="s">
        <v>205</v>
      </c>
      <c r="T5" s="20" t="s">
        <v>115</v>
      </c>
      <c r="U5" s="20" t="s">
        <v>145</v>
      </c>
      <c r="V5" s="20" t="s">
        <v>118</v>
      </c>
      <c r="W5" s="30"/>
      <c r="X5" s="30"/>
      <c r="Y5" s="30"/>
      <c r="Z5" s="30"/>
      <c r="AA5" s="30"/>
      <c r="AB5" s="30"/>
      <c r="AC5" s="30"/>
      <c r="AD5" s="30"/>
      <c r="AE5" s="23" t="str">
        <f t="shared" ref="AE5:AE29" si="1">IF(COUNT(W5:AD5)=8,SUM(W5:AD5),"")</f>
        <v/>
      </c>
      <c r="AF5" s="31"/>
      <c r="AG5" s="31"/>
      <c r="AH5" s="25" t="str">
        <f t="shared" ref="AH5:AH29" si="2">IF(AND(COUNT(W5:AD5)=0,AF5="",AG5=""),"Not Started",IF(AF5="Abstain (Conflict of Interest)",IF(AG5&lt;&gt;"","Reassignment Required","Add Conflict Note"),IF(AND(COUNT(W5:AD5)=8,AF5&lt;&gt;"",AG5&lt;&gt;""),"Complete","In Progress")))</f>
        <v>Not Started</v>
      </c>
    </row>
    <row r="6" ht="408.75" customHeight="1">
      <c r="A6" s="26">
        <v>466.0</v>
      </c>
      <c r="B6" s="27" t="str">
        <f>HYPERLINK("https://github.com/pytorch-fdn/ambassador-program/issues/466","https://github.com/pytorch-fdn/ambassador-program/issues/466")</f>
        <v>https://github.com/pytorch-fdn/ambassador-program/issues/466</v>
      </c>
      <c r="C6" s="26" t="s">
        <v>206</v>
      </c>
      <c r="D6" s="26" t="s">
        <v>207</v>
      </c>
      <c r="E6" s="26" t="s">
        <v>208</v>
      </c>
      <c r="F6" s="26" t="s">
        <v>99</v>
      </c>
      <c r="G6" s="26" t="s">
        <v>209</v>
      </c>
      <c r="H6" s="26" t="s">
        <v>103</v>
      </c>
      <c r="I6" s="26" t="s">
        <v>100</v>
      </c>
      <c r="J6" s="26" t="s">
        <v>210</v>
      </c>
      <c r="K6" s="26" t="s">
        <v>211</v>
      </c>
      <c r="L6" s="26" t="s">
        <v>100</v>
      </c>
      <c r="M6" s="26" t="s">
        <v>162</v>
      </c>
      <c r="N6" s="26" t="s">
        <v>100</v>
      </c>
      <c r="O6" s="26" t="s">
        <v>212</v>
      </c>
      <c r="P6" s="26" t="s">
        <v>213</v>
      </c>
      <c r="Q6" s="26" t="s">
        <v>214</v>
      </c>
      <c r="R6" s="26" t="s">
        <v>215</v>
      </c>
      <c r="S6" s="26" t="s">
        <v>216</v>
      </c>
      <c r="T6" s="26" t="s">
        <v>115</v>
      </c>
      <c r="U6" s="26" t="s">
        <v>145</v>
      </c>
      <c r="V6" s="26" t="s">
        <v>118</v>
      </c>
      <c r="W6" s="30"/>
      <c r="X6" s="30"/>
      <c r="Y6" s="30"/>
      <c r="Z6" s="30"/>
      <c r="AA6" s="30"/>
      <c r="AB6" s="30"/>
      <c r="AC6" s="30"/>
      <c r="AD6" s="30"/>
      <c r="AE6" s="28" t="str">
        <f t="shared" si="1"/>
        <v/>
      </c>
      <c r="AF6" s="31"/>
      <c r="AG6" s="31"/>
      <c r="AH6" s="29" t="str">
        <f t="shared" si="2"/>
        <v>Not Started</v>
      </c>
    </row>
    <row r="7" ht="408.75" customHeight="1">
      <c r="A7" s="26">
        <v>463.0</v>
      </c>
      <c r="B7" s="27" t="str">
        <f>HYPERLINK("https://github.com/pytorch-fdn/ambassador-program/issues/463","https://github.com/pytorch-fdn/ambassador-program/issues/463")</f>
        <v>https://github.com/pytorch-fdn/ambassador-program/issues/463</v>
      </c>
      <c r="C7" s="26" t="s">
        <v>256</v>
      </c>
      <c r="D7" s="26" t="s">
        <v>258</v>
      </c>
      <c r="E7" s="26" t="s">
        <v>260</v>
      </c>
      <c r="F7" s="26" t="s">
        <v>261</v>
      </c>
      <c r="G7" s="26" t="s">
        <v>264</v>
      </c>
      <c r="H7" s="26" t="s">
        <v>103</v>
      </c>
      <c r="I7" s="26" t="s">
        <v>100</v>
      </c>
      <c r="J7" s="26" t="s">
        <v>266</v>
      </c>
      <c r="K7" s="26" t="s">
        <v>100</v>
      </c>
      <c r="L7" s="26" t="s">
        <v>100</v>
      </c>
      <c r="M7" s="26" t="s">
        <v>162</v>
      </c>
      <c r="N7" s="26" t="s">
        <v>100</v>
      </c>
      <c r="O7" s="26" t="s">
        <v>272</v>
      </c>
      <c r="P7" s="26" t="s">
        <v>275</v>
      </c>
      <c r="Q7" s="26" t="s">
        <v>277</v>
      </c>
      <c r="R7" s="26" t="s">
        <v>278</v>
      </c>
      <c r="S7" s="26" t="s">
        <v>144</v>
      </c>
      <c r="T7" s="26" t="s">
        <v>115</v>
      </c>
      <c r="U7" s="26" t="s">
        <v>280</v>
      </c>
      <c r="V7" s="26" t="s">
        <v>118</v>
      </c>
      <c r="W7" s="30"/>
      <c r="X7" s="30"/>
      <c r="Y7" s="30"/>
      <c r="Z7" s="30"/>
      <c r="AA7" s="30"/>
      <c r="AB7" s="30"/>
      <c r="AC7" s="30"/>
      <c r="AD7" s="30"/>
      <c r="AE7" s="28" t="str">
        <f t="shared" si="1"/>
        <v/>
      </c>
      <c r="AF7" s="31"/>
      <c r="AG7" s="31"/>
      <c r="AH7" s="29" t="str">
        <f t="shared" si="2"/>
        <v>Not Started</v>
      </c>
    </row>
    <row r="8" ht="408.75" customHeight="1">
      <c r="A8" s="26">
        <v>459.0</v>
      </c>
      <c r="B8" s="27" t="str">
        <f>HYPERLINK("https://github.com/pytorch-fdn/ambassador-program/issues/459","https://github.com/pytorch-fdn/ambassador-program/issues/459")</f>
        <v>https://github.com/pytorch-fdn/ambassador-program/issues/459</v>
      </c>
      <c r="C8" s="26" t="s">
        <v>257</v>
      </c>
      <c r="D8" s="26" t="s">
        <v>259</v>
      </c>
      <c r="E8" s="26" t="s">
        <v>262</v>
      </c>
      <c r="F8" s="26" t="s">
        <v>95</v>
      </c>
      <c r="G8" s="26" t="s">
        <v>265</v>
      </c>
      <c r="H8" s="26" t="s">
        <v>98</v>
      </c>
      <c r="I8" s="26" t="s">
        <v>100</v>
      </c>
      <c r="J8" s="26" t="s">
        <v>268</v>
      </c>
      <c r="K8" s="26" t="s">
        <v>100</v>
      </c>
      <c r="L8" s="26" t="s">
        <v>270</v>
      </c>
      <c r="M8" s="26" t="s">
        <v>273</v>
      </c>
      <c r="N8" s="26" t="s">
        <v>100</v>
      </c>
      <c r="O8" s="26" t="s">
        <v>107</v>
      </c>
      <c r="P8" s="26" t="s">
        <v>281</v>
      </c>
      <c r="Q8" s="26" t="s">
        <v>282</v>
      </c>
      <c r="R8" s="26" t="s">
        <v>283</v>
      </c>
      <c r="S8" s="26" t="s">
        <v>144</v>
      </c>
      <c r="T8" s="26" t="s">
        <v>115</v>
      </c>
      <c r="U8" s="26" t="s">
        <v>262</v>
      </c>
      <c r="V8" s="26" t="s">
        <v>286</v>
      </c>
      <c r="W8" s="30"/>
      <c r="X8" s="30"/>
      <c r="Y8" s="30"/>
      <c r="Z8" s="30"/>
      <c r="AA8" s="30"/>
      <c r="AB8" s="30"/>
      <c r="AC8" s="30"/>
      <c r="AD8" s="30"/>
      <c r="AE8" s="28" t="str">
        <f t="shared" si="1"/>
        <v/>
      </c>
      <c r="AF8" s="31"/>
      <c r="AG8" s="31"/>
      <c r="AH8" s="29" t="str">
        <f t="shared" si="2"/>
        <v>Not Started</v>
      </c>
    </row>
    <row r="9" ht="408.75" customHeight="1">
      <c r="A9" s="26">
        <v>455.0</v>
      </c>
      <c r="B9" s="27" t="str">
        <f>HYPERLINK("https://github.com/pytorch-fdn/ambassador-program/issues/455","https://github.com/pytorch-fdn/ambassador-program/issues/455")</f>
        <v>https://github.com/pytorch-fdn/ambassador-program/issues/455</v>
      </c>
      <c r="C9" s="26" t="s">
        <v>311</v>
      </c>
      <c r="D9" s="26" t="s">
        <v>314</v>
      </c>
      <c r="E9" s="26" t="s">
        <v>316</v>
      </c>
      <c r="F9" s="26" t="s">
        <v>261</v>
      </c>
      <c r="G9" s="26" t="s">
        <v>319</v>
      </c>
      <c r="H9" s="26" t="s">
        <v>103</v>
      </c>
      <c r="I9" s="26" t="s">
        <v>100</v>
      </c>
      <c r="J9" s="26" t="s">
        <v>320</v>
      </c>
      <c r="K9" s="26" t="s">
        <v>100</v>
      </c>
      <c r="L9" s="26" t="s">
        <v>100</v>
      </c>
      <c r="M9" s="26" t="s">
        <v>325</v>
      </c>
      <c r="N9" s="26" t="s">
        <v>100</v>
      </c>
      <c r="O9" s="26" t="s">
        <v>328</v>
      </c>
      <c r="P9" s="26" t="s">
        <v>333</v>
      </c>
      <c r="Q9" s="26" t="s">
        <v>336</v>
      </c>
      <c r="R9" s="26" t="s">
        <v>345</v>
      </c>
      <c r="S9" s="26" t="s">
        <v>144</v>
      </c>
      <c r="T9" s="26" t="s">
        <v>121</v>
      </c>
      <c r="U9" s="26" t="s">
        <v>255</v>
      </c>
      <c r="V9" s="26" t="s">
        <v>353</v>
      </c>
      <c r="W9" s="30"/>
      <c r="X9" s="30"/>
      <c r="Y9" s="30"/>
      <c r="Z9" s="30"/>
      <c r="AA9" s="30"/>
      <c r="AB9" s="30"/>
      <c r="AC9" s="30"/>
      <c r="AD9" s="30"/>
      <c r="AE9" s="28" t="str">
        <f t="shared" si="1"/>
        <v/>
      </c>
      <c r="AF9" s="31"/>
      <c r="AG9" s="31"/>
      <c r="AH9" s="29" t="str">
        <f t="shared" si="2"/>
        <v>Not Started</v>
      </c>
    </row>
    <row r="10" ht="408.75" customHeight="1">
      <c r="A10" s="26">
        <v>451.0</v>
      </c>
      <c r="B10" s="27" t="str">
        <f>HYPERLINK("https://github.com/pytorch-fdn/ambassador-program/issues/451","https://github.com/pytorch-fdn/ambassador-program/issues/451")</f>
        <v>https://github.com/pytorch-fdn/ambassador-program/issues/451</v>
      </c>
      <c r="C10" s="26" t="s">
        <v>356</v>
      </c>
      <c r="D10" s="26" t="s">
        <v>357</v>
      </c>
      <c r="E10" s="26" t="s">
        <v>359</v>
      </c>
      <c r="F10" s="26" t="s">
        <v>261</v>
      </c>
      <c r="G10" s="26" t="s">
        <v>362</v>
      </c>
      <c r="H10" s="26" t="s">
        <v>98</v>
      </c>
      <c r="I10" s="26" t="s">
        <v>100</v>
      </c>
      <c r="J10" s="26" t="s">
        <v>364</v>
      </c>
      <c r="K10" s="26" t="s">
        <v>100</v>
      </c>
      <c r="L10" s="26" t="s">
        <v>366</v>
      </c>
      <c r="M10" s="26" t="s">
        <v>162</v>
      </c>
      <c r="N10" s="26" t="s">
        <v>100</v>
      </c>
      <c r="O10" s="26" t="s">
        <v>372</v>
      </c>
      <c r="P10" s="26" t="s">
        <v>379</v>
      </c>
      <c r="Q10" s="26" t="s">
        <v>382</v>
      </c>
      <c r="R10" s="26" t="s">
        <v>385</v>
      </c>
      <c r="S10" s="26" t="s">
        <v>386</v>
      </c>
      <c r="T10" s="26" t="s">
        <v>115</v>
      </c>
      <c r="U10" s="26" t="s">
        <v>389</v>
      </c>
      <c r="V10" s="26" t="s">
        <v>390</v>
      </c>
      <c r="W10" s="30"/>
      <c r="X10" s="30"/>
      <c r="Y10" s="30"/>
      <c r="Z10" s="30"/>
      <c r="AA10" s="30"/>
      <c r="AB10" s="30"/>
      <c r="AC10" s="30"/>
      <c r="AD10" s="30"/>
      <c r="AE10" s="28" t="str">
        <f t="shared" si="1"/>
        <v/>
      </c>
      <c r="AF10" s="31"/>
      <c r="AG10" s="31"/>
      <c r="AH10" s="29" t="str">
        <f t="shared" si="2"/>
        <v>Not Started</v>
      </c>
    </row>
    <row r="11" ht="408.75" customHeight="1">
      <c r="A11" s="26">
        <v>443.0</v>
      </c>
      <c r="B11" s="27" t="str">
        <f>HYPERLINK("https://github.com/pytorch-fdn/ambassador-program/issues/443","https://github.com/pytorch-fdn/ambassador-program/issues/443")</f>
        <v>https://github.com/pytorch-fdn/ambassador-program/issues/443</v>
      </c>
      <c r="C11" s="26" t="s">
        <v>403</v>
      </c>
      <c r="D11" s="26" t="s">
        <v>404</v>
      </c>
      <c r="E11" s="26" t="s">
        <v>405</v>
      </c>
      <c r="F11" s="26" t="s">
        <v>261</v>
      </c>
      <c r="G11" s="26" t="s">
        <v>407</v>
      </c>
      <c r="H11" s="26" t="s">
        <v>103</v>
      </c>
      <c r="I11" s="26" t="s">
        <v>100</v>
      </c>
      <c r="J11" s="26" t="s">
        <v>408</v>
      </c>
      <c r="K11" s="26" t="s">
        <v>100</v>
      </c>
      <c r="L11" s="26" t="s">
        <v>100</v>
      </c>
      <c r="M11" s="26" t="s">
        <v>106</v>
      </c>
      <c r="N11" s="26" t="s">
        <v>100</v>
      </c>
      <c r="O11" s="26" t="s">
        <v>409</v>
      </c>
      <c r="P11" s="26" t="s">
        <v>410</v>
      </c>
      <c r="Q11" s="26" t="s">
        <v>412</v>
      </c>
      <c r="R11" s="26" t="s">
        <v>413</v>
      </c>
      <c r="S11" s="26" t="s">
        <v>414</v>
      </c>
      <c r="T11" s="26" t="s">
        <v>115</v>
      </c>
      <c r="U11" s="26" t="s">
        <v>117</v>
      </c>
      <c r="V11" s="26" t="s">
        <v>415</v>
      </c>
      <c r="W11" s="30"/>
      <c r="X11" s="30"/>
      <c r="Y11" s="30"/>
      <c r="Z11" s="30"/>
      <c r="AA11" s="30"/>
      <c r="AB11" s="30"/>
      <c r="AC11" s="30"/>
      <c r="AD11" s="30"/>
      <c r="AE11" s="28" t="str">
        <f t="shared" si="1"/>
        <v/>
      </c>
      <c r="AF11" s="31"/>
      <c r="AG11" s="31"/>
      <c r="AH11" s="29" t="str">
        <f t="shared" si="2"/>
        <v>Not Started</v>
      </c>
    </row>
    <row r="12" ht="126.0" customHeight="1">
      <c r="A12" s="26">
        <v>432.0</v>
      </c>
      <c r="B12" s="27" t="str">
        <f>HYPERLINK("https://github.com/pytorch-fdn/ambassador-program/issues/432","https://github.com/pytorch-fdn/ambassador-program/issues/432")</f>
        <v>https://github.com/pytorch-fdn/ambassador-program/issues/432</v>
      </c>
      <c r="C12" s="26" t="s">
        <v>437</v>
      </c>
      <c r="D12" s="26" t="s">
        <v>439</v>
      </c>
      <c r="E12" s="26" t="s">
        <v>441</v>
      </c>
      <c r="F12" s="26" t="s">
        <v>99</v>
      </c>
      <c r="G12" s="26" t="s">
        <v>443</v>
      </c>
      <c r="H12" s="26" t="s">
        <v>103</v>
      </c>
      <c r="I12" s="26" t="s">
        <v>100</v>
      </c>
      <c r="J12" s="26" t="s">
        <v>445</v>
      </c>
      <c r="K12" s="26" t="s">
        <v>100</v>
      </c>
      <c r="L12" s="26" t="s">
        <v>100</v>
      </c>
      <c r="M12" s="26" t="s">
        <v>162</v>
      </c>
      <c r="N12" s="26" t="s">
        <v>100</v>
      </c>
      <c r="O12" s="26" t="s">
        <v>296</v>
      </c>
      <c r="P12" s="26" t="s">
        <v>447</v>
      </c>
      <c r="Q12" s="26" t="s">
        <v>448</v>
      </c>
      <c r="R12" s="26" t="s">
        <v>450</v>
      </c>
      <c r="S12" s="26" t="s">
        <v>452</v>
      </c>
      <c r="T12" s="26" t="s">
        <v>348</v>
      </c>
      <c r="U12" s="26" t="s">
        <v>453</v>
      </c>
      <c r="V12" s="26" t="s">
        <v>118</v>
      </c>
      <c r="W12" s="30"/>
      <c r="X12" s="30"/>
      <c r="Y12" s="30"/>
      <c r="Z12" s="30"/>
      <c r="AA12" s="30"/>
      <c r="AB12" s="30"/>
      <c r="AC12" s="30"/>
      <c r="AD12" s="30"/>
      <c r="AE12" s="28" t="str">
        <f t="shared" si="1"/>
        <v/>
      </c>
      <c r="AF12" s="31"/>
      <c r="AG12" s="31"/>
      <c r="AH12" s="29" t="str">
        <f t="shared" si="2"/>
        <v>Not Started</v>
      </c>
    </row>
    <row r="13" ht="126.0" customHeight="1">
      <c r="A13" s="26">
        <v>429.0</v>
      </c>
      <c r="B13" s="27" t="str">
        <f>HYPERLINK("https://github.com/pytorch-fdn/ambassador-program/issues/429","https://github.com/pytorch-fdn/ambassador-program/issues/429")</f>
        <v>https://github.com/pytorch-fdn/ambassador-program/issues/429</v>
      </c>
      <c r="C13" s="26" t="s">
        <v>466</v>
      </c>
      <c r="D13" s="26" t="s">
        <v>467</v>
      </c>
      <c r="E13" s="26" t="s">
        <v>468</v>
      </c>
      <c r="F13" s="26" t="s">
        <v>175</v>
      </c>
      <c r="G13" s="26" t="s">
        <v>469</v>
      </c>
      <c r="H13" s="26" t="s">
        <v>98</v>
      </c>
      <c r="I13" s="26" t="s">
        <v>100</v>
      </c>
      <c r="J13" s="26" t="s">
        <v>470</v>
      </c>
      <c r="K13" s="26" t="s">
        <v>100</v>
      </c>
      <c r="L13" s="26" t="s">
        <v>471</v>
      </c>
      <c r="M13" s="26" t="s">
        <v>108</v>
      </c>
      <c r="N13" s="26" t="s">
        <v>100</v>
      </c>
      <c r="O13" s="26" t="s">
        <v>474</v>
      </c>
      <c r="P13" s="26" t="s">
        <v>476</v>
      </c>
      <c r="Q13" s="26" t="s">
        <v>477</v>
      </c>
      <c r="R13" s="26" t="s">
        <v>479</v>
      </c>
      <c r="S13" s="26" t="s">
        <v>481</v>
      </c>
      <c r="T13" s="26" t="s">
        <v>348</v>
      </c>
      <c r="U13" s="26" t="s">
        <v>484</v>
      </c>
      <c r="V13" s="26" t="s">
        <v>487</v>
      </c>
      <c r="W13" s="30"/>
      <c r="X13" s="30"/>
      <c r="Y13" s="30"/>
      <c r="Z13" s="30"/>
      <c r="AA13" s="30"/>
      <c r="AB13" s="30"/>
      <c r="AC13" s="30"/>
      <c r="AD13" s="30"/>
      <c r="AE13" s="28" t="str">
        <f t="shared" si="1"/>
        <v/>
      </c>
      <c r="AF13" s="31"/>
      <c r="AG13" s="31"/>
      <c r="AH13" s="29" t="str">
        <f t="shared" si="2"/>
        <v>Not Started</v>
      </c>
    </row>
    <row r="14" ht="192.0" customHeight="1">
      <c r="A14" s="26">
        <v>410.0</v>
      </c>
      <c r="B14" s="27" t="str">
        <f>HYPERLINK("https://github.com/pytorch-fdn/ambassador-program/issues/410","https://github.com/pytorch-fdn/ambassador-program/issues/410")</f>
        <v>https://github.com/pytorch-fdn/ambassador-program/issues/410</v>
      </c>
      <c r="C14" s="26" t="s">
        <v>503</v>
      </c>
      <c r="D14" s="26" t="s">
        <v>504</v>
      </c>
      <c r="E14" s="26" t="s">
        <v>505</v>
      </c>
      <c r="F14" s="26" t="s">
        <v>175</v>
      </c>
      <c r="G14" s="26" t="s">
        <v>509</v>
      </c>
      <c r="H14" s="26" t="s">
        <v>103</v>
      </c>
      <c r="I14" s="26" t="s">
        <v>100</v>
      </c>
      <c r="J14" s="26" t="s">
        <v>512</v>
      </c>
      <c r="K14" s="26" t="s">
        <v>100</v>
      </c>
      <c r="L14" s="26" t="s">
        <v>100</v>
      </c>
      <c r="M14" s="26" t="s">
        <v>513</v>
      </c>
      <c r="N14" s="26" t="s">
        <v>100</v>
      </c>
      <c r="O14" s="26" t="s">
        <v>134</v>
      </c>
      <c r="P14" s="26" t="s">
        <v>515</v>
      </c>
      <c r="Q14" s="26" t="s">
        <v>516</v>
      </c>
      <c r="R14" s="26" t="s">
        <v>517</v>
      </c>
      <c r="S14" s="26" t="s">
        <v>518</v>
      </c>
      <c r="T14" s="26" t="s">
        <v>115</v>
      </c>
      <c r="U14" s="26" t="s">
        <v>145</v>
      </c>
      <c r="V14" s="26" t="s">
        <v>521</v>
      </c>
      <c r="W14" s="30"/>
      <c r="X14" s="30"/>
      <c r="Y14" s="30"/>
      <c r="Z14" s="30"/>
      <c r="AA14" s="30"/>
      <c r="AB14" s="30"/>
      <c r="AC14" s="30"/>
      <c r="AD14" s="30"/>
      <c r="AE14" s="28" t="str">
        <f t="shared" si="1"/>
        <v/>
      </c>
      <c r="AF14" s="31"/>
      <c r="AG14" s="31"/>
      <c r="AH14" s="29" t="str">
        <f t="shared" si="2"/>
        <v>Not Started</v>
      </c>
    </row>
    <row r="15" ht="288.0" customHeight="1">
      <c r="A15" s="26">
        <v>396.0</v>
      </c>
      <c r="B15" s="27" t="str">
        <f>HYPERLINK("https://github.com/pytorch-fdn/ambassador-program/issues/396","https://github.com/pytorch-fdn/ambassador-program/issues/396")</f>
        <v>https://github.com/pytorch-fdn/ambassador-program/issues/396</v>
      </c>
      <c r="C15" s="26" t="s">
        <v>529</v>
      </c>
      <c r="D15" s="26" t="s">
        <v>530</v>
      </c>
      <c r="E15" s="26" t="s">
        <v>531</v>
      </c>
      <c r="F15" s="26" t="s">
        <v>261</v>
      </c>
      <c r="G15" s="26" t="s">
        <v>533</v>
      </c>
      <c r="H15" s="26" t="s">
        <v>103</v>
      </c>
      <c r="I15" s="26" t="s">
        <v>100</v>
      </c>
      <c r="J15" s="26" t="s">
        <v>536</v>
      </c>
      <c r="K15" s="26" t="s">
        <v>100</v>
      </c>
      <c r="L15" s="26" t="s">
        <v>100</v>
      </c>
      <c r="M15" s="26" t="s">
        <v>162</v>
      </c>
      <c r="N15" s="26" t="s">
        <v>100</v>
      </c>
      <c r="O15" s="26" t="s">
        <v>474</v>
      </c>
      <c r="P15" s="26" t="s">
        <v>541</v>
      </c>
      <c r="Q15" s="26" t="s">
        <v>545</v>
      </c>
      <c r="R15" s="26" t="s">
        <v>547</v>
      </c>
      <c r="S15" s="26" t="s">
        <v>550</v>
      </c>
      <c r="T15" s="26" t="s">
        <v>551</v>
      </c>
      <c r="U15" s="26" t="s">
        <v>552</v>
      </c>
      <c r="V15" s="26" t="s">
        <v>118</v>
      </c>
      <c r="W15" s="30"/>
      <c r="X15" s="30"/>
      <c r="Y15" s="30"/>
      <c r="Z15" s="30"/>
      <c r="AA15" s="30"/>
      <c r="AB15" s="30"/>
      <c r="AC15" s="30"/>
      <c r="AD15" s="30"/>
      <c r="AE15" s="28" t="str">
        <f t="shared" si="1"/>
        <v/>
      </c>
      <c r="AF15" s="31"/>
      <c r="AG15" s="31"/>
      <c r="AH15" s="29" t="str">
        <f t="shared" si="2"/>
        <v>Not Started</v>
      </c>
    </row>
    <row r="16" ht="408.75" customHeight="1">
      <c r="A16" s="26">
        <v>395.0</v>
      </c>
      <c r="B16" s="27" t="str">
        <f>HYPERLINK("https://github.com/pytorch-fdn/ambassador-program/issues/395","https://github.com/pytorch-fdn/ambassador-program/issues/395")</f>
        <v>https://github.com/pytorch-fdn/ambassador-program/issues/395</v>
      </c>
      <c r="C16" s="26" t="s">
        <v>569</v>
      </c>
      <c r="D16" s="26" t="s">
        <v>570</v>
      </c>
      <c r="E16" s="26" t="s">
        <v>572</v>
      </c>
      <c r="F16" s="26" t="s">
        <v>261</v>
      </c>
      <c r="G16" s="26" t="s">
        <v>573</v>
      </c>
      <c r="H16" s="26" t="s">
        <v>103</v>
      </c>
      <c r="I16" s="26" t="s">
        <v>100</v>
      </c>
      <c r="J16" s="26" t="s">
        <v>577</v>
      </c>
      <c r="K16" s="26" t="s">
        <v>100</v>
      </c>
      <c r="L16" s="26" t="s">
        <v>100</v>
      </c>
      <c r="M16" s="26" t="s">
        <v>106</v>
      </c>
      <c r="N16" s="26" t="s">
        <v>100</v>
      </c>
      <c r="O16" s="26" t="s">
        <v>279</v>
      </c>
      <c r="P16" s="26" t="s">
        <v>583</v>
      </c>
      <c r="Q16" s="26" t="s">
        <v>585</v>
      </c>
      <c r="R16" s="26" t="s">
        <v>587</v>
      </c>
      <c r="S16" s="26" t="s">
        <v>144</v>
      </c>
      <c r="T16" s="26" t="s">
        <v>158</v>
      </c>
      <c r="U16" s="26" t="s">
        <v>552</v>
      </c>
      <c r="V16" s="26" t="s">
        <v>590</v>
      </c>
      <c r="W16" s="30"/>
      <c r="X16" s="30"/>
      <c r="Y16" s="30"/>
      <c r="Z16" s="30"/>
      <c r="AA16" s="30"/>
      <c r="AB16" s="30"/>
      <c r="AC16" s="30"/>
      <c r="AD16" s="30"/>
      <c r="AE16" s="28" t="str">
        <f t="shared" si="1"/>
        <v/>
      </c>
      <c r="AF16" s="31"/>
      <c r="AG16" s="31"/>
      <c r="AH16" s="29" t="str">
        <f t="shared" si="2"/>
        <v>Not Started</v>
      </c>
    </row>
    <row r="17" ht="126.0" customHeight="1">
      <c r="A17" s="26">
        <v>388.0</v>
      </c>
      <c r="B17" s="27" t="str">
        <f>HYPERLINK("https://github.com/pytorch-fdn/ambassador-program/issues/388","https://github.com/pytorch-fdn/ambassador-program/issues/388")</f>
        <v>https://github.com/pytorch-fdn/ambassador-program/issues/388</v>
      </c>
      <c r="C17" s="26" t="s">
        <v>599</v>
      </c>
      <c r="D17" s="26" t="s">
        <v>601</v>
      </c>
      <c r="E17" s="26" t="s">
        <v>602</v>
      </c>
      <c r="F17" s="26" t="s">
        <v>99</v>
      </c>
      <c r="G17" s="26" t="s">
        <v>604</v>
      </c>
      <c r="H17" s="26" t="s">
        <v>103</v>
      </c>
      <c r="I17" s="26" t="s">
        <v>100</v>
      </c>
      <c r="J17" s="26" t="s">
        <v>606</v>
      </c>
      <c r="K17" s="26" t="s">
        <v>100</v>
      </c>
      <c r="L17" s="26" t="s">
        <v>100</v>
      </c>
      <c r="M17" s="26" t="s">
        <v>108</v>
      </c>
      <c r="N17" s="26" t="s">
        <v>100</v>
      </c>
      <c r="O17" s="26" t="s">
        <v>188</v>
      </c>
      <c r="P17" s="26" t="s">
        <v>611</v>
      </c>
      <c r="Q17" s="26" t="s">
        <v>613</v>
      </c>
      <c r="R17" s="26" t="s">
        <v>615</v>
      </c>
      <c r="S17" s="26" t="s">
        <v>616</v>
      </c>
      <c r="T17" s="26" t="s">
        <v>617</v>
      </c>
      <c r="U17" s="26" t="s">
        <v>145</v>
      </c>
      <c r="V17" s="26" t="s">
        <v>118</v>
      </c>
      <c r="W17" s="30"/>
      <c r="X17" s="30"/>
      <c r="Y17" s="30"/>
      <c r="Z17" s="30"/>
      <c r="AA17" s="30"/>
      <c r="AB17" s="30"/>
      <c r="AC17" s="30"/>
      <c r="AD17" s="30"/>
      <c r="AE17" s="28" t="str">
        <f t="shared" si="1"/>
        <v/>
      </c>
      <c r="AF17" s="31"/>
      <c r="AG17" s="31"/>
      <c r="AH17" s="29" t="str">
        <f t="shared" si="2"/>
        <v>Not Started</v>
      </c>
    </row>
    <row r="18" ht="408.75" customHeight="1">
      <c r="A18" s="26">
        <v>385.0</v>
      </c>
      <c r="B18" s="27" t="str">
        <f>HYPERLINK("https://github.com/pytorch-fdn/ambassador-program/issues/385","https://github.com/pytorch-fdn/ambassador-program/issues/385")</f>
        <v>https://github.com/pytorch-fdn/ambassador-program/issues/385</v>
      </c>
      <c r="C18" s="26" t="s">
        <v>628</v>
      </c>
      <c r="D18" s="26" t="s">
        <v>629</v>
      </c>
      <c r="E18" s="26" t="s">
        <v>630</v>
      </c>
      <c r="F18" s="26" t="s">
        <v>261</v>
      </c>
      <c r="G18" s="26" t="s">
        <v>100</v>
      </c>
      <c r="H18" s="26" t="s">
        <v>103</v>
      </c>
      <c r="I18" s="26" t="s">
        <v>100</v>
      </c>
      <c r="J18" s="26" t="s">
        <v>631</v>
      </c>
      <c r="K18" s="26" t="s">
        <v>100</v>
      </c>
      <c r="L18" s="26" t="s">
        <v>100</v>
      </c>
      <c r="M18" s="26" t="s">
        <v>444</v>
      </c>
      <c r="N18" s="26" t="s">
        <v>100</v>
      </c>
      <c r="O18" s="26" t="s">
        <v>632</v>
      </c>
      <c r="P18" s="26" t="s">
        <v>633</v>
      </c>
      <c r="Q18" s="26" t="s">
        <v>634</v>
      </c>
      <c r="R18" s="26" t="s">
        <v>635</v>
      </c>
      <c r="S18" s="26" t="s">
        <v>120</v>
      </c>
      <c r="T18" s="26" t="s">
        <v>115</v>
      </c>
      <c r="U18" s="26" t="s">
        <v>145</v>
      </c>
      <c r="V18" s="26" t="s">
        <v>636</v>
      </c>
      <c r="W18" s="30"/>
      <c r="X18" s="30"/>
      <c r="Y18" s="30"/>
      <c r="Z18" s="30"/>
      <c r="AA18" s="30"/>
      <c r="AB18" s="30"/>
      <c r="AC18" s="30"/>
      <c r="AD18" s="30"/>
      <c r="AE18" s="28" t="str">
        <f t="shared" si="1"/>
        <v/>
      </c>
      <c r="AF18" s="31"/>
      <c r="AG18" s="31"/>
      <c r="AH18" s="29" t="str">
        <f t="shared" si="2"/>
        <v>Not Started</v>
      </c>
    </row>
    <row r="19" ht="408.75" customHeight="1">
      <c r="A19" s="26">
        <v>384.0</v>
      </c>
      <c r="B19" s="27" t="str">
        <f>HYPERLINK("https://github.com/pytorch-fdn/ambassador-program/issues/384","https://github.com/pytorch-fdn/ambassador-program/issues/384")</f>
        <v>https://github.com/pytorch-fdn/ambassador-program/issues/384</v>
      </c>
      <c r="C19" s="26" t="s">
        <v>644</v>
      </c>
      <c r="D19" s="26" t="s">
        <v>645</v>
      </c>
      <c r="E19" s="26" t="s">
        <v>646</v>
      </c>
      <c r="F19" s="26" t="s">
        <v>175</v>
      </c>
      <c r="G19" s="26" t="s">
        <v>648</v>
      </c>
      <c r="H19" s="26" t="s">
        <v>103</v>
      </c>
      <c r="I19" s="26" t="s">
        <v>651</v>
      </c>
      <c r="J19" s="26" t="s">
        <v>653</v>
      </c>
      <c r="K19" s="26" t="s">
        <v>655</v>
      </c>
      <c r="L19" s="26" t="s">
        <v>100</v>
      </c>
      <c r="M19" s="26" t="s">
        <v>162</v>
      </c>
      <c r="N19" s="26" t="s">
        <v>100</v>
      </c>
      <c r="O19" s="26" t="s">
        <v>658</v>
      </c>
      <c r="P19" s="26" t="s">
        <v>663</v>
      </c>
      <c r="Q19" s="26" t="s">
        <v>666</v>
      </c>
      <c r="R19" s="26" t="s">
        <v>669</v>
      </c>
      <c r="S19" s="26" t="s">
        <v>564</v>
      </c>
      <c r="T19" s="26" t="s">
        <v>115</v>
      </c>
      <c r="U19" s="26" t="s">
        <v>117</v>
      </c>
      <c r="V19" s="26" t="s">
        <v>118</v>
      </c>
      <c r="W19" s="30"/>
      <c r="X19" s="30"/>
      <c r="Y19" s="30"/>
      <c r="Z19" s="30"/>
      <c r="AA19" s="30"/>
      <c r="AB19" s="30"/>
      <c r="AC19" s="30"/>
      <c r="AD19" s="30"/>
      <c r="AE19" s="28" t="str">
        <f t="shared" si="1"/>
        <v/>
      </c>
      <c r="AF19" s="31"/>
      <c r="AG19" s="31"/>
      <c r="AH19" s="29" t="str">
        <f t="shared" si="2"/>
        <v>Not Started</v>
      </c>
    </row>
    <row r="20" ht="408.75" customHeight="1">
      <c r="A20" s="26">
        <v>371.0</v>
      </c>
      <c r="B20" s="27" t="str">
        <f>HYPERLINK("https://github.com/pytorch-fdn/ambassador-program/issues/371","https://github.com/pytorch-fdn/ambassador-program/issues/371")</f>
        <v>https://github.com/pytorch-fdn/ambassador-program/issues/371</v>
      </c>
      <c r="C20" s="26" t="s">
        <v>687</v>
      </c>
      <c r="D20" s="26" t="s">
        <v>689</v>
      </c>
      <c r="E20" s="26" t="s">
        <v>691</v>
      </c>
      <c r="F20" s="26" t="s">
        <v>95</v>
      </c>
      <c r="G20" s="26" t="s">
        <v>693</v>
      </c>
      <c r="H20" s="26" t="s">
        <v>103</v>
      </c>
      <c r="I20" s="26" t="s">
        <v>100</v>
      </c>
      <c r="J20" s="26" t="s">
        <v>695</v>
      </c>
      <c r="K20" s="26" t="s">
        <v>696</v>
      </c>
      <c r="L20" s="26" t="s">
        <v>100</v>
      </c>
      <c r="M20" s="26" t="s">
        <v>325</v>
      </c>
      <c r="N20" s="26" t="s">
        <v>100</v>
      </c>
      <c r="O20" s="26" t="s">
        <v>699</v>
      </c>
      <c r="P20" s="26" t="s">
        <v>702</v>
      </c>
      <c r="Q20" s="26" t="s">
        <v>705</v>
      </c>
      <c r="R20" s="26" t="s">
        <v>708</v>
      </c>
      <c r="S20" s="26" t="s">
        <v>709</v>
      </c>
      <c r="T20" s="26" t="s">
        <v>115</v>
      </c>
      <c r="U20" s="26" t="s">
        <v>145</v>
      </c>
      <c r="V20" s="26" t="s">
        <v>710</v>
      </c>
      <c r="W20" s="30"/>
      <c r="X20" s="30"/>
      <c r="Y20" s="30"/>
      <c r="Z20" s="30"/>
      <c r="AA20" s="30"/>
      <c r="AB20" s="30"/>
      <c r="AC20" s="30"/>
      <c r="AD20" s="30"/>
      <c r="AE20" s="28" t="str">
        <f t="shared" si="1"/>
        <v/>
      </c>
      <c r="AF20" s="31"/>
      <c r="AG20" s="31"/>
      <c r="AH20" s="29" t="str">
        <f t="shared" si="2"/>
        <v>Not Started</v>
      </c>
    </row>
    <row r="21" ht="180.0" customHeight="1">
      <c r="A21" s="26">
        <v>364.0</v>
      </c>
      <c r="B21" s="27" t="str">
        <f>HYPERLINK("https://github.com/pytorch-fdn/ambassador-program/issues/364","https://github.com/pytorch-fdn/ambassador-program/issues/364")</f>
        <v>https://github.com/pytorch-fdn/ambassador-program/issues/364</v>
      </c>
      <c r="C21" s="26" t="s">
        <v>725</v>
      </c>
      <c r="D21" s="26" t="s">
        <v>726</v>
      </c>
      <c r="E21" s="26" t="s">
        <v>727</v>
      </c>
      <c r="F21" s="26" t="s">
        <v>95</v>
      </c>
      <c r="G21" s="26" t="s">
        <v>729</v>
      </c>
      <c r="H21" s="26" t="s">
        <v>103</v>
      </c>
      <c r="I21" s="26" t="s">
        <v>100</v>
      </c>
      <c r="J21" s="26" t="s">
        <v>731</v>
      </c>
      <c r="K21" s="26" t="s">
        <v>100</v>
      </c>
      <c r="L21" s="26" t="s">
        <v>100</v>
      </c>
      <c r="M21" s="26" t="s">
        <v>162</v>
      </c>
      <c r="N21" s="26" t="s">
        <v>100</v>
      </c>
      <c r="O21" s="26" t="s">
        <v>658</v>
      </c>
      <c r="P21" s="26" t="s">
        <v>736</v>
      </c>
      <c r="Q21" s="26" t="s">
        <v>738</v>
      </c>
      <c r="R21" s="26" t="s">
        <v>741</v>
      </c>
      <c r="S21" s="26" t="s">
        <v>742</v>
      </c>
      <c r="T21" s="26" t="s">
        <v>158</v>
      </c>
      <c r="U21" s="26" t="s">
        <v>160</v>
      </c>
      <c r="V21" s="26" t="s">
        <v>118</v>
      </c>
      <c r="W21" s="30"/>
      <c r="X21" s="30"/>
      <c r="Y21" s="30"/>
      <c r="Z21" s="30"/>
      <c r="AA21" s="30"/>
      <c r="AB21" s="30"/>
      <c r="AC21" s="30"/>
      <c r="AD21" s="30"/>
      <c r="AE21" s="28" t="str">
        <f t="shared" si="1"/>
        <v/>
      </c>
      <c r="AF21" s="31"/>
      <c r="AG21" s="31"/>
      <c r="AH21" s="29" t="str">
        <f t="shared" si="2"/>
        <v>Not Started</v>
      </c>
    </row>
    <row r="22" ht="408.75" customHeight="1">
      <c r="A22" s="26">
        <v>357.0</v>
      </c>
      <c r="B22" s="27" t="str">
        <f>HYPERLINK("https://github.com/pytorch-fdn/ambassador-program/issues/357","https://github.com/pytorch-fdn/ambassador-program/issues/357")</f>
        <v>https://github.com/pytorch-fdn/ambassador-program/issues/357</v>
      </c>
      <c r="C22" s="26" t="s">
        <v>754</v>
      </c>
      <c r="D22" s="26" t="s">
        <v>755</v>
      </c>
      <c r="E22" s="26" t="s">
        <v>262</v>
      </c>
      <c r="F22" s="26" t="s">
        <v>95</v>
      </c>
      <c r="G22" s="26" t="s">
        <v>757</v>
      </c>
      <c r="H22" s="26" t="s">
        <v>103</v>
      </c>
      <c r="I22" s="26" t="s">
        <v>100</v>
      </c>
      <c r="J22" s="26" t="s">
        <v>759</v>
      </c>
      <c r="K22" s="26" t="s">
        <v>100</v>
      </c>
      <c r="L22" s="26" t="s">
        <v>100</v>
      </c>
      <c r="M22" s="26" t="s">
        <v>162</v>
      </c>
      <c r="N22" s="26" t="s">
        <v>762</v>
      </c>
      <c r="O22" s="26" t="s">
        <v>764</v>
      </c>
      <c r="P22" s="26" t="s">
        <v>765</v>
      </c>
      <c r="Q22" s="26" t="s">
        <v>767</v>
      </c>
      <c r="R22" s="26" t="s">
        <v>773</v>
      </c>
      <c r="S22" s="26" t="s">
        <v>777</v>
      </c>
      <c r="T22" s="26" t="s">
        <v>115</v>
      </c>
      <c r="U22" s="26" t="s">
        <v>262</v>
      </c>
      <c r="V22" s="26" t="s">
        <v>118</v>
      </c>
      <c r="W22" s="30"/>
      <c r="X22" s="30"/>
      <c r="Y22" s="30"/>
      <c r="Z22" s="30"/>
      <c r="AA22" s="30"/>
      <c r="AB22" s="30"/>
      <c r="AC22" s="30"/>
      <c r="AD22" s="30"/>
      <c r="AE22" s="28" t="str">
        <f t="shared" si="1"/>
        <v/>
      </c>
      <c r="AF22" s="31"/>
      <c r="AG22" s="31"/>
      <c r="AH22" s="29" t="str">
        <f t="shared" si="2"/>
        <v>Not Started</v>
      </c>
    </row>
    <row r="23" ht="408.75" customHeight="1">
      <c r="A23" s="26">
        <v>349.0</v>
      </c>
      <c r="B23" s="27" t="str">
        <f>HYPERLINK("https://github.com/pytorch-fdn/ambassador-program/issues/349","https://github.com/pytorch-fdn/ambassador-program/issues/349")</f>
        <v>https://github.com/pytorch-fdn/ambassador-program/issues/349</v>
      </c>
      <c r="C23" s="26" t="s">
        <v>808</v>
      </c>
      <c r="D23" s="26" t="s">
        <v>812</v>
      </c>
      <c r="E23" s="26" t="s">
        <v>813</v>
      </c>
      <c r="F23" s="26" t="s">
        <v>95</v>
      </c>
      <c r="G23" s="26" t="s">
        <v>816</v>
      </c>
      <c r="H23" s="26" t="s">
        <v>98</v>
      </c>
      <c r="I23" s="26" t="s">
        <v>100</v>
      </c>
      <c r="J23" s="26" t="s">
        <v>819</v>
      </c>
      <c r="K23" s="26" t="s">
        <v>100</v>
      </c>
      <c r="L23" s="26" t="s">
        <v>822</v>
      </c>
      <c r="M23" s="26" t="s">
        <v>824</v>
      </c>
      <c r="N23" s="26" t="s">
        <v>826</v>
      </c>
      <c r="O23" s="26" t="s">
        <v>829</v>
      </c>
      <c r="P23" s="26" t="s">
        <v>833</v>
      </c>
      <c r="Q23" s="26" t="s">
        <v>837</v>
      </c>
      <c r="R23" s="26" t="s">
        <v>843</v>
      </c>
      <c r="S23" s="26" t="s">
        <v>144</v>
      </c>
      <c r="T23" s="26" t="s">
        <v>121</v>
      </c>
      <c r="U23" s="26" t="s">
        <v>255</v>
      </c>
      <c r="V23" s="26" t="s">
        <v>857</v>
      </c>
      <c r="W23" s="30"/>
      <c r="X23" s="30"/>
      <c r="Y23" s="30"/>
      <c r="Z23" s="30"/>
      <c r="AA23" s="30"/>
      <c r="AB23" s="30"/>
      <c r="AC23" s="30"/>
      <c r="AD23" s="30"/>
      <c r="AE23" s="28" t="str">
        <f t="shared" si="1"/>
        <v/>
      </c>
      <c r="AF23" s="31"/>
      <c r="AG23" s="31"/>
      <c r="AH23" s="29" t="str">
        <f t="shared" si="2"/>
        <v>Not Started</v>
      </c>
    </row>
    <row r="24" ht="324.0" customHeight="1">
      <c r="A24" s="26">
        <v>348.0</v>
      </c>
      <c r="B24" s="27" t="str">
        <f>HYPERLINK("https://github.com/pytorch-fdn/ambassador-program/issues/348","https://github.com/pytorch-fdn/ambassador-program/issues/348")</f>
        <v>https://github.com/pytorch-fdn/ambassador-program/issues/348</v>
      </c>
      <c r="C24" s="26" t="s">
        <v>892</v>
      </c>
      <c r="D24" s="26" t="s">
        <v>894</v>
      </c>
      <c r="E24" s="26" t="s">
        <v>866</v>
      </c>
      <c r="F24" s="26" t="s">
        <v>261</v>
      </c>
      <c r="G24" s="26" t="s">
        <v>898</v>
      </c>
      <c r="H24" s="26" t="s">
        <v>103</v>
      </c>
      <c r="I24" s="26" t="s">
        <v>100</v>
      </c>
      <c r="J24" s="26" t="s">
        <v>100</v>
      </c>
      <c r="K24" s="26" t="s">
        <v>100</v>
      </c>
      <c r="L24" s="26" t="s">
        <v>100</v>
      </c>
      <c r="M24" s="26" t="s">
        <v>905</v>
      </c>
      <c r="N24" s="26" t="s">
        <v>906</v>
      </c>
      <c r="O24" s="26" t="s">
        <v>907</v>
      </c>
      <c r="P24" s="26" t="s">
        <v>908</v>
      </c>
      <c r="Q24" s="26" t="s">
        <v>910</v>
      </c>
      <c r="R24" s="26" t="s">
        <v>911</v>
      </c>
      <c r="S24" s="26" t="s">
        <v>777</v>
      </c>
      <c r="T24" s="26" t="s">
        <v>115</v>
      </c>
      <c r="U24" s="26" t="s">
        <v>866</v>
      </c>
      <c r="V24" s="26" t="s">
        <v>118</v>
      </c>
      <c r="W24" s="30"/>
      <c r="X24" s="30"/>
      <c r="Y24" s="30"/>
      <c r="Z24" s="30"/>
      <c r="AA24" s="30"/>
      <c r="AB24" s="30"/>
      <c r="AC24" s="30"/>
      <c r="AD24" s="30"/>
      <c r="AE24" s="28" t="str">
        <f t="shared" si="1"/>
        <v/>
      </c>
      <c r="AF24" s="31"/>
      <c r="AG24" s="31"/>
      <c r="AH24" s="29" t="str">
        <f t="shared" si="2"/>
        <v>Not Started</v>
      </c>
    </row>
    <row r="25" ht="408.75" customHeight="1">
      <c r="A25" s="26">
        <v>344.0</v>
      </c>
      <c r="B25" s="27" t="str">
        <f>HYPERLINK("https://github.com/pytorch-fdn/ambassador-program/issues/344","https://github.com/pytorch-fdn/ambassador-program/issues/344")</f>
        <v>https://github.com/pytorch-fdn/ambassador-program/issues/344</v>
      </c>
      <c r="C25" s="26" t="s">
        <v>930</v>
      </c>
      <c r="D25" s="26" t="s">
        <v>932</v>
      </c>
      <c r="E25" s="26" t="s">
        <v>935</v>
      </c>
      <c r="F25" s="26" t="s">
        <v>95</v>
      </c>
      <c r="G25" s="26" t="s">
        <v>938</v>
      </c>
      <c r="H25" s="26" t="s">
        <v>98</v>
      </c>
      <c r="I25" s="26" t="s">
        <v>100</v>
      </c>
      <c r="J25" s="26" t="s">
        <v>940</v>
      </c>
      <c r="K25" s="26" t="s">
        <v>941</v>
      </c>
      <c r="L25" s="26" t="s">
        <v>942</v>
      </c>
      <c r="M25" s="26" t="s">
        <v>162</v>
      </c>
      <c r="N25" s="26" t="s">
        <v>100</v>
      </c>
      <c r="O25" s="26" t="s">
        <v>945</v>
      </c>
      <c r="P25" s="26" t="s">
        <v>948</v>
      </c>
      <c r="Q25" s="26" t="s">
        <v>949</v>
      </c>
      <c r="R25" s="26" t="s">
        <v>951</v>
      </c>
      <c r="S25" s="26" t="s">
        <v>953</v>
      </c>
      <c r="T25" s="26" t="s">
        <v>115</v>
      </c>
      <c r="U25" s="26" t="s">
        <v>866</v>
      </c>
      <c r="V25" s="26" t="s">
        <v>118</v>
      </c>
      <c r="W25" s="30"/>
      <c r="X25" s="30"/>
      <c r="Y25" s="30"/>
      <c r="Z25" s="30"/>
      <c r="AA25" s="30"/>
      <c r="AB25" s="30"/>
      <c r="AC25" s="30"/>
      <c r="AD25" s="30"/>
      <c r="AE25" s="28" t="str">
        <f t="shared" si="1"/>
        <v/>
      </c>
      <c r="AF25" s="31"/>
      <c r="AG25" s="31"/>
      <c r="AH25" s="29" t="str">
        <f t="shared" si="2"/>
        <v>Not Started</v>
      </c>
    </row>
    <row r="26" ht="324.0" customHeight="1">
      <c r="A26" s="26">
        <v>342.0</v>
      </c>
      <c r="B26" s="27" t="str">
        <f>HYPERLINK("https://github.com/pytorch-fdn/ambassador-program/issues/342","https://github.com/pytorch-fdn/ambassador-program/issues/342")</f>
        <v>https://github.com/pytorch-fdn/ambassador-program/issues/342</v>
      </c>
      <c r="C26" s="26" t="s">
        <v>961</v>
      </c>
      <c r="D26" s="26" t="s">
        <v>962</v>
      </c>
      <c r="E26" s="26" t="s">
        <v>964</v>
      </c>
      <c r="F26" s="26" t="s">
        <v>175</v>
      </c>
      <c r="G26" s="26" t="s">
        <v>965</v>
      </c>
      <c r="H26" s="26" t="s">
        <v>103</v>
      </c>
      <c r="I26" s="26" t="s">
        <v>100</v>
      </c>
      <c r="J26" s="26" t="s">
        <v>967</v>
      </c>
      <c r="K26" s="26" t="s">
        <v>100</v>
      </c>
      <c r="L26" s="26" t="s">
        <v>100</v>
      </c>
      <c r="M26" s="26" t="s">
        <v>954</v>
      </c>
      <c r="N26" s="26" t="s">
        <v>971</v>
      </c>
      <c r="O26" s="26" t="s">
        <v>972</v>
      </c>
      <c r="P26" s="26" t="s">
        <v>976</v>
      </c>
      <c r="Q26" s="26" t="s">
        <v>979</v>
      </c>
      <c r="R26" s="26" t="s">
        <v>982</v>
      </c>
      <c r="S26" s="26" t="s">
        <v>985</v>
      </c>
      <c r="T26" s="26" t="s">
        <v>115</v>
      </c>
      <c r="U26" s="26" t="s">
        <v>145</v>
      </c>
      <c r="V26" s="26" t="s">
        <v>990</v>
      </c>
      <c r="W26" s="30"/>
      <c r="X26" s="30"/>
      <c r="Y26" s="30"/>
      <c r="Z26" s="30"/>
      <c r="AA26" s="30"/>
      <c r="AB26" s="30"/>
      <c r="AC26" s="30"/>
      <c r="AD26" s="30"/>
      <c r="AE26" s="28" t="str">
        <f t="shared" si="1"/>
        <v/>
      </c>
      <c r="AF26" s="31"/>
      <c r="AG26" s="31"/>
      <c r="AH26" s="29" t="str">
        <f t="shared" si="2"/>
        <v>Not Started</v>
      </c>
    </row>
    <row r="27" ht="408.75" customHeight="1">
      <c r="A27" s="26">
        <v>334.0</v>
      </c>
      <c r="B27" s="27" t="str">
        <f>HYPERLINK("https://github.com/pytorch-fdn/ambassador-program/issues/334","https://github.com/pytorch-fdn/ambassador-program/issues/334")</f>
        <v>https://github.com/pytorch-fdn/ambassador-program/issues/334</v>
      </c>
      <c r="C27" s="26" t="s">
        <v>998</v>
      </c>
      <c r="D27" s="26" t="s">
        <v>999</v>
      </c>
      <c r="E27" s="26" t="s">
        <v>1000</v>
      </c>
      <c r="F27" s="26" t="s">
        <v>261</v>
      </c>
      <c r="G27" s="26" t="s">
        <v>1001</v>
      </c>
      <c r="H27" s="26" t="s">
        <v>103</v>
      </c>
      <c r="I27" s="26" t="s">
        <v>1002</v>
      </c>
      <c r="J27" s="26" t="s">
        <v>1003</v>
      </c>
      <c r="K27" s="26" t="s">
        <v>1004</v>
      </c>
      <c r="L27" s="26" t="s">
        <v>100</v>
      </c>
      <c r="M27" s="26" t="s">
        <v>1005</v>
      </c>
      <c r="N27" s="26" t="s">
        <v>100</v>
      </c>
      <c r="O27" s="26" t="s">
        <v>279</v>
      </c>
      <c r="P27" s="26" t="s">
        <v>1006</v>
      </c>
      <c r="Q27" s="26" t="s">
        <v>1008</v>
      </c>
      <c r="R27" s="26" t="s">
        <v>1010</v>
      </c>
      <c r="S27" s="26" t="s">
        <v>144</v>
      </c>
      <c r="T27" s="26" t="s">
        <v>115</v>
      </c>
      <c r="U27" s="26" t="s">
        <v>145</v>
      </c>
      <c r="V27" s="26" t="s">
        <v>118</v>
      </c>
      <c r="W27" s="30"/>
      <c r="X27" s="30"/>
      <c r="Y27" s="30"/>
      <c r="Z27" s="30"/>
      <c r="AA27" s="30"/>
      <c r="AB27" s="30"/>
      <c r="AC27" s="30"/>
      <c r="AD27" s="30"/>
      <c r="AE27" s="28" t="str">
        <f t="shared" si="1"/>
        <v/>
      </c>
      <c r="AF27" s="31"/>
      <c r="AG27" s="31"/>
      <c r="AH27" s="29" t="str">
        <f t="shared" si="2"/>
        <v>Not Started</v>
      </c>
    </row>
    <row r="28" ht="408.75" customHeight="1">
      <c r="A28" s="26">
        <v>329.0</v>
      </c>
      <c r="B28" s="27" t="str">
        <f>HYPERLINK("https://github.com/pytorch-fdn/ambassador-program/issues/329","https://github.com/pytorch-fdn/ambassador-program/issues/329")</f>
        <v>https://github.com/pytorch-fdn/ambassador-program/issues/329</v>
      </c>
      <c r="C28" s="26" t="s">
        <v>1036</v>
      </c>
      <c r="D28" s="26" t="s">
        <v>1038</v>
      </c>
      <c r="E28" s="26" t="s">
        <v>1040</v>
      </c>
      <c r="F28" s="26" t="s">
        <v>261</v>
      </c>
      <c r="G28" s="26" t="s">
        <v>1041</v>
      </c>
      <c r="H28" s="26" t="s">
        <v>103</v>
      </c>
      <c r="I28" s="26" t="s">
        <v>100</v>
      </c>
      <c r="J28" s="26" t="s">
        <v>1043</v>
      </c>
      <c r="K28" s="26" t="s">
        <v>100</v>
      </c>
      <c r="L28" s="26" t="s">
        <v>100</v>
      </c>
      <c r="M28" s="26" t="s">
        <v>108</v>
      </c>
      <c r="N28" s="26" t="s">
        <v>100</v>
      </c>
      <c r="O28" s="26" t="s">
        <v>1045</v>
      </c>
      <c r="P28" s="26" t="s">
        <v>1046</v>
      </c>
      <c r="Q28" s="26" t="s">
        <v>1047</v>
      </c>
      <c r="R28" s="26" t="s">
        <v>1050</v>
      </c>
      <c r="S28" s="26" t="s">
        <v>1051</v>
      </c>
      <c r="T28" s="26" t="s">
        <v>348</v>
      </c>
      <c r="U28" s="26" t="s">
        <v>1052</v>
      </c>
      <c r="V28" s="26" t="s">
        <v>1053</v>
      </c>
      <c r="W28" s="30"/>
      <c r="X28" s="30"/>
      <c r="Y28" s="30"/>
      <c r="Z28" s="30"/>
      <c r="AA28" s="30"/>
      <c r="AB28" s="30"/>
      <c r="AC28" s="30"/>
      <c r="AD28" s="30"/>
      <c r="AE28" s="28" t="str">
        <f t="shared" si="1"/>
        <v/>
      </c>
      <c r="AF28" s="31"/>
      <c r="AG28" s="31"/>
      <c r="AH28" s="29" t="str">
        <f t="shared" si="2"/>
        <v>Not Started</v>
      </c>
    </row>
    <row r="29" ht="408.75" customHeight="1">
      <c r="A29" s="32">
        <v>324.0</v>
      </c>
      <c r="B29" s="33" t="str">
        <f>HYPERLINK("https://github.com/pytorch-fdn/ambassador-program/issues/324","https://github.com/pytorch-fdn/ambassador-program/issues/324")</f>
        <v>https://github.com/pytorch-fdn/ambassador-program/issues/324</v>
      </c>
      <c r="C29" s="32" t="s">
        <v>1064</v>
      </c>
      <c r="D29" s="32" t="s">
        <v>1065</v>
      </c>
      <c r="E29" s="32" t="s">
        <v>1067</v>
      </c>
      <c r="F29" s="32" t="s">
        <v>95</v>
      </c>
      <c r="G29" s="32" t="s">
        <v>1069</v>
      </c>
      <c r="H29" s="32" t="s">
        <v>103</v>
      </c>
      <c r="I29" s="32" t="s">
        <v>100</v>
      </c>
      <c r="J29" s="32" t="s">
        <v>1070</v>
      </c>
      <c r="K29" s="32" t="s">
        <v>100</v>
      </c>
      <c r="L29" s="32" t="s">
        <v>1071</v>
      </c>
      <c r="M29" s="32"/>
      <c r="N29" s="32" t="s">
        <v>1072</v>
      </c>
      <c r="O29" s="32" t="s">
        <v>107</v>
      </c>
      <c r="P29" s="32" t="s">
        <v>1074</v>
      </c>
      <c r="Q29" s="32" t="s">
        <v>1075</v>
      </c>
      <c r="R29" s="32" t="s">
        <v>1076</v>
      </c>
      <c r="S29" s="32" t="s">
        <v>254</v>
      </c>
      <c r="T29" s="32" t="s">
        <v>121</v>
      </c>
      <c r="U29" s="32" t="s">
        <v>255</v>
      </c>
      <c r="V29" s="32" t="s">
        <v>1078</v>
      </c>
      <c r="W29" s="30"/>
      <c r="X29" s="30"/>
      <c r="Y29" s="30"/>
      <c r="Z29" s="30"/>
      <c r="AA29" s="30"/>
      <c r="AB29" s="30"/>
      <c r="AC29" s="30"/>
      <c r="AD29" s="30"/>
      <c r="AE29" s="34" t="str">
        <f t="shared" si="1"/>
        <v/>
      </c>
      <c r="AF29" s="31"/>
      <c r="AG29" s="31"/>
      <c r="AH29" s="35" t="str">
        <f t="shared" si="2"/>
        <v>Not Started</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1102</v>
      </c>
    </row>
    <row r="2" ht="27.75" customHeight="1">
      <c r="A2" s="2" t="s">
        <v>51</v>
      </c>
    </row>
    <row r="3">
      <c r="A3" s="14" t="s">
        <v>53</v>
      </c>
      <c r="W3" s="15" t="s">
        <v>54</v>
      </c>
    </row>
    <row r="4" ht="90.0"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6" t="s">
        <v>85</v>
      </c>
      <c r="AE4" s="19" t="s">
        <v>86</v>
      </c>
      <c r="AF4" s="16" t="s">
        <v>87</v>
      </c>
      <c r="AG4" s="16" t="s">
        <v>88</v>
      </c>
      <c r="AH4" s="19" t="s">
        <v>89</v>
      </c>
    </row>
    <row r="5" ht="126.0" customHeight="1">
      <c r="A5" s="20">
        <v>476.0</v>
      </c>
      <c r="B5" s="21" t="str">
        <f>HYPERLINK("https://github.com/pytorch-fdn/ambassador-program/issues/476","https://github.com/pytorch-fdn/ambassador-program/issues/476")</f>
        <v>https://github.com/pytorch-fdn/ambassador-program/issues/476</v>
      </c>
      <c r="C5" s="20" t="s">
        <v>1103</v>
      </c>
      <c r="D5" s="20" t="s">
        <v>1104</v>
      </c>
      <c r="E5" s="20" t="s">
        <v>1105</v>
      </c>
      <c r="F5" s="20" t="s">
        <v>99</v>
      </c>
      <c r="G5" s="20" t="s">
        <v>1106</v>
      </c>
      <c r="H5" s="20" t="s">
        <v>103</v>
      </c>
      <c r="I5" s="20" t="s">
        <v>100</v>
      </c>
      <c r="J5" s="20" t="s">
        <v>1107</v>
      </c>
      <c r="K5" s="20" t="s">
        <v>1108</v>
      </c>
      <c r="L5" s="20" t="s">
        <v>100</v>
      </c>
      <c r="M5" s="20" t="s">
        <v>325</v>
      </c>
      <c r="N5" s="20" t="s">
        <v>100</v>
      </c>
      <c r="O5" s="20" t="s">
        <v>1109</v>
      </c>
      <c r="P5" s="20" t="s">
        <v>1110</v>
      </c>
      <c r="Q5" s="20" t="s">
        <v>1111</v>
      </c>
      <c r="R5" s="20" t="s">
        <v>1112</v>
      </c>
      <c r="S5" s="20" t="s">
        <v>1113</v>
      </c>
      <c r="T5" s="20" t="s">
        <v>115</v>
      </c>
      <c r="U5" s="20" t="s">
        <v>145</v>
      </c>
      <c r="V5" s="20" t="s">
        <v>118</v>
      </c>
      <c r="W5" s="30"/>
      <c r="X5" s="30"/>
      <c r="Y5" s="30"/>
      <c r="Z5" s="30"/>
      <c r="AA5" s="30"/>
      <c r="AB5" s="30"/>
      <c r="AC5" s="30"/>
      <c r="AD5" s="30"/>
      <c r="AE5" s="23" t="str">
        <f t="shared" ref="AE5:AE29" si="1">IF(COUNT(W5:AD5)=8,SUM(W5:AD5),"")</f>
        <v/>
      </c>
      <c r="AF5" s="31"/>
      <c r="AG5" s="31"/>
      <c r="AH5" s="25" t="str">
        <f t="shared" ref="AH5:AH29" si="2">IF(AND(COUNT(W5:AD5)=0,AF5="",AG5=""),"Not Started",IF(AF5="Abstain (Conflict of Interest)",IF(AG5&lt;&gt;"","Reassignment Required","Add Conflict Note"),IF(AND(COUNT(W5:AD5)=8,AF5&lt;&gt;"",AG5&lt;&gt;""),"Complete","In Progress")))</f>
        <v>Not Started</v>
      </c>
    </row>
    <row r="6" ht="408.75" customHeight="1">
      <c r="A6" s="26">
        <v>475.0</v>
      </c>
      <c r="B6" s="27" t="str">
        <f>HYPERLINK("https://github.com/pytorch-fdn/ambassador-program/issues/475","https://github.com/pytorch-fdn/ambassador-program/issues/475")</f>
        <v>https://github.com/pytorch-fdn/ambassador-program/issues/475</v>
      </c>
      <c r="C6" s="26" t="s">
        <v>135</v>
      </c>
      <c r="D6" s="26" t="s">
        <v>137</v>
      </c>
      <c r="E6" s="26" t="s">
        <v>138</v>
      </c>
      <c r="F6" s="26" t="s">
        <v>139</v>
      </c>
      <c r="G6" s="26" t="s">
        <v>141</v>
      </c>
      <c r="H6" s="26" t="s">
        <v>103</v>
      </c>
      <c r="I6" s="26" t="s">
        <v>100</v>
      </c>
      <c r="J6" s="26" t="s">
        <v>143</v>
      </c>
      <c r="K6" s="26" t="s">
        <v>100</v>
      </c>
      <c r="L6" s="26" t="s">
        <v>100</v>
      </c>
      <c r="M6" s="26" t="s">
        <v>108</v>
      </c>
      <c r="N6" s="26" t="s">
        <v>100</v>
      </c>
      <c r="O6" s="26" t="s">
        <v>147</v>
      </c>
      <c r="P6" s="26" t="s">
        <v>148</v>
      </c>
      <c r="Q6" s="26" t="s">
        <v>150</v>
      </c>
      <c r="R6" s="26" t="s">
        <v>154</v>
      </c>
      <c r="S6" s="26" t="s">
        <v>156</v>
      </c>
      <c r="T6" s="26" t="s">
        <v>158</v>
      </c>
      <c r="U6" s="26" t="s">
        <v>160</v>
      </c>
      <c r="V6" s="26" t="s">
        <v>163</v>
      </c>
      <c r="W6" s="30"/>
      <c r="X6" s="30"/>
      <c r="Y6" s="30"/>
      <c r="Z6" s="30"/>
      <c r="AA6" s="30"/>
      <c r="AB6" s="30"/>
      <c r="AC6" s="30"/>
      <c r="AD6" s="30"/>
      <c r="AE6" s="28" t="str">
        <f t="shared" si="1"/>
        <v/>
      </c>
      <c r="AF6" s="31"/>
      <c r="AG6" s="31"/>
      <c r="AH6" s="29" t="str">
        <f t="shared" si="2"/>
        <v>Not Started</v>
      </c>
    </row>
    <row r="7" ht="408.75" customHeight="1">
      <c r="A7" s="26">
        <v>469.0</v>
      </c>
      <c r="B7" s="27" t="str">
        <f>HYPERLINK("https://github.com/pytorch-fdn/ambassador-program/issues/469","https://github.com/pytorch-fdn/ambassador-program/issues/469")</f>
        <v>https://github.com/pytorch-fdn/ambassador-program/issues/469</v>
      </c>
      <c r="C7" s="26" t="s">
        <v>171</v>
      </c>
      <c r="D7" s="26" t="s">
        <v>172</v>
      </c>
      <c r="E7" s="26" t="s">
        <v>173</v>
      </c>
      <c r="F7" s="26" t="s">
        <v>175</v>
      </c>
      <c r="G7" s="26" t="s">
        <v>176</v>
      </c>
      <c r="H7" s="26" t="s">
        <v>103</v>
      </c>
      <c r="I7" s="26" t="s">
        <v>100</v>
      </c>
      <c r="J7" s="26" t="s">
        <v>177</v>
      </c>
      <c r="K7" s="26" t="s">
        <v>100</v>
      </c>
      <c r="L7" s="26" t="s">
        <v>100</v>
      </c>
      <c r="M7" s="26" t="s">
        <v>162</v>
      </c>
      <c r="N7" s="26" t="s">
        <v>100</v>
      </c>
      <c r="O7" s="26" t="s">
        <v>178</v>
      </c>
      <c r="P7" s="26" t="s">
        <v>179</v>
      </c>
      <c r="Q7" s="26" t="s">
        <v>182</v>
      </c>
      <c r="R7" s="26" t="s">
        <v>184</v>
      </c>
      <c r="S7" s="26" t="s">
        <v>186</v>
      </c>
      <c r="T7" s="26" t="s">
        <v>115</v>
      </c>
      <c r="U7" s="26" t="s">
        <v>145</v>
      </c>
      <c r="V7" s="26" t="s">
        <v>118</v>
      </c>
      <c r="W7" s="30"/>
      <c r="X7" s="30"/>
      <c r="Y7" s="30"/>
      <c r="Z7" s="30"/>
      <c r="AA7" s="30"/>
      <c r="AB7" s="30"/>
      <c r="AC7" s="30"/>
      <c r="AD7" s="30"/>
      <c r="AE7" s="28" t="str">
        <f t="shared" si="1"/>
        <v/>
      </c>
      <c r="AF7" s="31"/>
      <c r="AG7" s="31"/>
      <c r="AH7" s="29" t="str">
        <f t="shared" si="2"/>
        <v>Not Started</v>
      </c>
    </row>
    <row r="8" ht="408.75" customHeight="1">
      <c r="A8" s="26">
        <v>465.0</v>
      </c>
      <c r="B8" s="27" t="str">
        <f>HYPERLINK("https://github.com/pytorch-fdn/ambassador-program/issues/465","https://github.com/pytorch-fdn/ambassador-program/issues/465")</f>
        <v>https://github.com/pytorch-fdn/ambassador-program/issues/465</v>
      </c>
      <c r="C8" s="26" t="s">
        <v>267</v>
      </c>
      <c r="D8" s="26" t="s">
        <v>269</v>
      </c>
      <c r="E8" s="26" t="s">
        <v>271</v>
      </c>
      <c r="F8" s="26" t="s">
        <v>261</v>
      </c>
      <c r="G8" s="26" t="s">
        <v>274</v>
      </c>
      <c r="H8" s="26" t="s">
        <v>103</v>
      </c>
      <c r="I8" s="26" t="s">
        <v>100</v>
      </c>
      <c r="J8" s="26" t="s">
        <v>276</v>
      </c>
      <c r="K8" s="26" t="s">
        <v>100</v>
      </c>
      <c r="L8" s="26" t="s">
        <v>100</v>
      </c>
      <c r="M8" s="26" t="s">
        <v>106</v>
      </c>
      <c r="N8" s="26" t="s">
        <v>100</v>
      </c>
      <c r="O8" s="26" t="s">
        <v>279</v>
      </c>
      <c r="P8" s="26" t="s">
        <v>284</v>
      </c>
      <c r="Q8" s="26" t="s">
        <v>285</v>
      </c>
      <c r="R8" s="26" t="s">
        <v>289</v>
      </c>
      <c r="S8" s="26" t="s">
        <v>291</v>
      </c>
      <c r="T8" s="26" t="s">
        <v>115</v>
      </c>
      <c r="U8" s="26" t="s">
        <v>145</v>
      </c>
      <c r="V8" s="26" t="s">
        <v>295</v>
      </c>
      <c r="W8" s="30"/>
      <c r="X8" s="30"/>
      <c r="Y8" s="30"/>
      <c r="Z8" s="30"/>
      <c r="AA8" s="30"/>
      <c r="AB8" s="30"/>
      <c r="AC8" s="30"/>
      <c r="AD8" s="30"/>
      <c r="AE8" s="28" t="str">
        <f t="shared" si="1"/>
        <v/>
      </c>
      <c r="AF8" s="31"/>
      <c r="AG8" s="31"/>
      <c r="AH8" s="29" t="str">
        <f t="shared" si="2"/>
        <v>Not Started</v>
      </c>
    </row>
    <row r="9" ht="408.75" customHeight="1">
      <c r="A9" s="26">
        <v>456.0</v>
      </c>
      <c r="B9" s="27" t="str">
        <f>HYPERLINK("https://github.com/pytorch-fdn/ambassador-program/issues/456","https://github.com/pytorch-fdn/ambassador-program/issues/456")</f>
        <v>https://github.com/pytorch-fdn/ambassador-program/issues/456</v>
      </c>
      <c r="C9" s="26" t="s">
        <v>1134</v>
      </c>
      <c r="D9" s="26" t="s">
        <v>1135</v>
      </c>
      <c r="E9" s="26" t="s">
        <v>531</v>
      </c>
      <c r="F9" s="26" t="s">
        <v>175</v>
      </c>
      <c r="G9" s="26" t="s">
        <v>1136</v>
      </c>
      <c r="H9" s="26" t="s">
        <v>98</v>
      </c>
      <c r="I9" s="26" t="s">
        <v>100</v>
      </c>
      <c r="J9" s="26" t="s">
        <v>1139</v>
      </c>
      <c r="K9" s="26" t="s">
        <v>100</v>
      </c>
      <c r="L9" s="26" t="s">
        <v>1141</v>
      </c>
      <c r="M9" s="26" t="s">
        <v>391</v>
      </c>
      <c r="N9" s="26" t="s">
        <v>100</v>
      </c>
      <c r="O9" s="26" t="s">
        <v>426</v>
      </c>
      <c r="P9" s="26" t="s">
        <v>1145</v>
      </c>
      <c r="Q9" s="26" t="s">
        <v>1146</v>
      </c>
      <c r="R9" s="26" t="s">
        <v>1147</v>
      </c>
      <c r="S9" s="26" t="s">
        <v>1148</v>
      </c>
      <c r="T9" s="26" t="s">
        <v>551</v>
      </c>
      <c r="U9" s="26" t="s">
        <v>552</v>
      </c>
      <c r="V9" s="26" t="s">
        <v>1150</v>
      </c>
      <c r="W9" s="30"/>
      <c r="X9" s="30"/>
      <c r="Y9" s="30"/>
      <c r="Z9" s="30"/>
      <c r="AA9" s="30"/>
      <c r="AB9" s="30"/>
      <c r="AC9" s="30"/>
      <c r="AD9" s="30"/>
      <c r="AE9" s="28" t="str">
        <f t="shared" si="1"/>
        <v/>
      </c>
      <c r="AF9" s="31"/>
      <c r="AG9" s="31"/>
      <c r="AH9" s="29" t="str">
        <f t="shared" si="2"/>
        <v>Not Started</v>
      </c>
    </row>
    <row r="10" ht="408.75" customHeight="1">
      <c r="A10" s="26">
        <v>453.0</v>
      </c>
      <c r="B10" s="27" t="str">
        <f>HYPERLINK("https://github.com/pytorch-fdn/ambassador-program/issues/453","https://github.com/pytorch-fdn/ambassador-program/issues/453")</f>
        <v>https://github.com/pytorch-fdn/ambassador-program/issues/453</v>
      </c>
      <c r="C10" s="26" t="s">
        <v>1159</v>
      </c>
      <c r="D10" s="26" t="s">
        <v>1160</v>
      </c>
      <c r="E10" s="26" t="s">
        <v>1161</v>
      </c>
      <c r="F10" s="26" t="s">
        <v>175</v>
      </c>
      <c r="G10" s="26" t="s">
        <v>1162</v>
      </c>
      <c r="H10" s="26" t="s">
        <v>103</v>
      </c>
      <c r="I10" s="26" t="s">
        <v>100</v>
      </c>
      <c r="J10" s="26" t="s">
        <v>1164</v>
      </c>
      <c r="K10" s="26" t="s">
        <v>100</v>
      </c>
      <c r="L10" s="26" t="s">
        <v>100</v>
      </c>
      <c r="M10" s="26" t="s">
        <v>108</v>
      </c>
      <c r="N10" s="26" t="s">
        <v>100</v>
      </c>
      <c r="O10" s="26" t="s">
        <v>1165</v>
      </c>
      <c r="P10" s="26" t="s">
        <v>1166</v>
      </c>
      <c r="Q10" s="26" t="s">
        <v>1167</v>
      </c>
      <c r="R10" s="26" t="s">
        <v>1168</v>
      </c>
      <c r="S10" s="26" t="s">
        <v>144</v>
      </c>
      <c r="T10" s="26" t="s">
        <v>158</v>
      </c>
      <c r="U10" s="26" t="s">
        <v>1169</v>
      </c>
      <c r="V10" s="26" t="s">
        <v>118</v>
      </c>
      <c r="W10" s="30"/>
      <c r="X10" s="30"/>
      <c r="Y10" s="30"/>
      <c r="Z10" s="30"/>
      <c r="AA10" s="30"/>
      <c r="AB10" s="30"/>
      <c r="AC10" s="30"/>
      <c r="AD10" s="30"/>
      <c r="AE10" s="28" t="str">
        <f t="shared" si="1"/>
        <v/>
      </c>
      <c r="AF10" s="31"/>
      <c r="AG10" s="31"/>
      <c r="AH10" s="29" t="str">
        <f t="shared" si="2"/>
        <v>Not Started</v>
      </c>
    </row>
    <row r="11" ht="396.0" customHeight="1">
      <c r="A11" s="26">
        <v>447.0</v>
      </c>
      <c r="B11" s="27" t="str">
        <f>HYPERLINK("https://github.com/pytorch-fdn/ambassador-program/issues/447","https://github.com/pytorch-fdn/ambassador-program/issues/447")</f>
        <v>https://github.com/pytorch-fdn/ambassador-program/issues/447</v>
      </c>
      <c r="C11" s="26" t="s">
        <v>1170</v>
      </c>
      <c r="D11" s="26" t="s">
        <v>1171</v>
      </c>
      <c r="E11" s="26" t="s">
        <v>1173</v>
      </c>
      <c r="F11" s="26" t="s">
        <v>261</v>
      </c>
      <c r="G11" s="26" t="s">
        <v>1174</v>
      </c>
      <c r="H11" s="26" t="s">
        <v>103</v>
      </c>
      <c r="I11" s="26" t="s">
        <v>100</v>
      </c>
      <c r="J11" s="26" t="s">
        <v>1176</v>
      </c>
      <c r="K11" s="26" t="s">
        <v>100</v>
      </c>
      <c r="L11" s="26" t="s">
        <v>100</v>
      </c>
      <c r="M11" s="26" t="s">
        <v>779</v>
      </c>
      <c r="N11" s="26" t="s">
        <v>100</v>
      </c>
      <c r="O11" s="26" t="s">
        <v>372</v>
      </c>
      <c r="P11" s="26" t="s">
        <v>1177</v>
      </c>
      <c r="Q11" s="26" t="s">
        <v>1178</v>
      </c>
      <c r="R11" s="26" t="s">
        <v>1179</v>
      </c>
      <c r="S11" s="26" t="s">
        <v>1180</v>
      </c>
      <c r="T11" s="26" t="s">
        <v>115</v>
      </c>
      <c r="U11" s="26" t="s">
        <v>145</v>
      </c>
      <c r="V11" s="26" t="s">
        <v>118</v>
      </c>
      <c r="W11" s="30"/>
      <c r="X11" s="30"/>
      <c r="Y11" s="30"/>
      <c r="Z11" s="30"/>
      <c r="AA11" s="30"/>
      <c r="AB11" s="30"/>
      <c r="AC11" s="30"/>
      <c r="AD11" s="30"/>
      <c r="AE11" s="28" t="str">
        <f t="shared" si="1"/>
        <v/>
      </c>
      <c r="AF11" s="31"/>
      <c r="AG11" s="31"/>
      <c r="AH11" s="29" t="str">
        <f t="shared" si="2"/>
        <v>Not Started</v>
      </c>
    </row>
    <row r="12" ht="126.0" customHeight="1">
      <c r="A12" s="26">
        <v>432.0</v>
      </c>
      <c r="B12" s="27" t="str">
        <f>HYPERLINK("https://github.com/pytorch-fdn/ambassador-program/issues/432","https://github.com/pytorch-fdn/ambassador-program/issues/432")</f>
        <v>https://github.com/pytorch-fdn/ambassador-program/issues/432</v>
      </c>
      <c r="C12" s="26" t="s">
        <v>437</v>
      </c>
      <c r="D12" s="26" t="s">
        <v>439</v>
      </c>
      <c r="E12" s="26" t="s">
        <v>441</v>
      </c>
      <c r="F12" s="26" t="s">
        <v>99</v>
      </c>
      <c r="G12" s="26" t="s">
        <v>443</v>
      </c>
      <c r="H12" s="26" t="s">
        <v>103</v>
      </c>
      <c r="I12" s="26" t="s">
        <v>100</v>
      </c>
      <c r="J12" s="26" t="s">
        <v>445</v>
      </c>
      <c r="K12" s="26" t="s">
        <v>100</v>
      </c>
      <c r="L12" s="26" t="s">
        <v>100</v>
      </c>
      <c r="M12" s="26" t="s">
        <v>162</v>
      </c>
      <c r="N12" s="26" t="s">
        <v>100</v>
      </c>
      <c r="O12" s="26" t="s">
        <v>296</v>
      </c>
      <c r="P12" s="26" t="s">
        <v>447</v>
      </c>
      <c r="Q12" s="26" t="s">
        <v>448</v>
      </c>
      <c r="R12" s="26" t="s">
        <v>450</v>
      </c>
      <c r="S12" s="26" t="s">
        <v>452</v>
      </c>
      <c r="T12" s="26" t="s">
        <v>348</v>
      </c>
      <c r="U12" s="26" t="s">
        <v>453</v>
      </c>
      <c r="V12" s="26" t="s">
        <v>118</v>
      </c>
      <c r="W12" s="30"/>
      <c r="X12" s="30"/>
      <c r="Y12" s="30"/>
      <c r="Z12" s="30"/>
      <c r="AA12" s="30"/>
      <c r="AB12" s="30"/>
      <c r="AC12" s="30"/>
      <c r="AD12" s="30"/>
      <c r="AE12" s="28" t="str">
        <f t="shared" si="1"/>
        <v/>
      </c>
      <c r="AF12" s="31"/>
      <c r="AG12" s="31"/>
      <c r="AH12" s="29" t="str">
        <f t="shared" si="2"/>
        <v>Not Started</v>
      </c>
    </row>
    <row r="13" ht="408.75" customHeight="1">
      <c r="A13" s="26">
        <v>424.0</v>
      </c>
      <c r="B13" s="27" t="str">
        <f>HYPERLINK("https://github.com/pytorch-fdn/ambassador-program/issues/424","https://github.com/pytorch-fdn/ambassador-program/issues/424")</f>
        <v>https://github.com/pytorch-fdn/ambassador-program/issues/424</v>
      </c>
      <c r="C13" s="26" t="s">
        <v>596</v>
      </c>
      <c r="D13" s="26" t="s">
        <v>597</v>
      </c>
      <c r="E13" s="26" t="s">
        <v>598</v>
      </c>
      <c r="F13" s="26" t="s">
        <v>175</v>
      </c>
      <c r="G13" s="26" t="s">
        <v>600</v>
      </c>
      <c r="H13" s="26" t="s">
        <v>103</v>
      </c>
      <c r="I13" s="26" t="s">
        <v>100</v>
      </c>
      <c r="J13" s="26" t="s">
        <v>603</v>
      </c>
      <c r="K13" s="26" t="s">
        <v>605</v>
      </c>
      <c r="L13" s="26" t="s">
        <v>100</v>
      </c>
      <c r="M13" s="26" t="s">
        <v>391</v>
      </c>
      <c r="N13" s="26" t="s">
        <v>100</v>
      </c>
      <c r="O13" s="26" t="s">
        <v>134</v>
      </c>
      <c r="P13" s="26" t="s">
        <v>609</v>
      </c>
      <c r="Q13" s="26" t="s">
        <v>612</v>
      </c>
      <c r="R13" s="26" t="s">
        <v>618</v>
      </c>
      <c r="S13" s="26" t="s">
        <v>144</v>
      </c>
      <c r="T13" s="26" t="s">
        <v>115</v>
      </c>
      <c r="U13" s="26" t="s">
        <v>145</v>
      </c>
      <c r="V13" s="26" t="s">
        <v>118</v>
      </c>
      <c r="W13" s="30"/>
      <c r="X13" s="30"/>
      <c r="Y13" s="30"/>
      <c r="Z13" s="30"/>
      <c r="AA13" s="30"/>
      <c r="AB13" s="30"/>
      <c r="AC13" s="30"/>
      <c r="AD13" s="30"/>
      <c r="AE13" s="28" t="str">
        <f t="shared" si="1"/>
        <v/>
      </c>
      <c r="AF13" s="31"/>
      <c r="AG13" s="31"/>
      <c r="AH13" s="29" t="str">
        <f t="shared" si="2"/>
        <v>Not Started</v>
      </c>
    </row>
    <row r="14" ht="408.75" customHeight="1">
      <c r="A14" s="26">
        <v>411.0</v>
      </c>
      <c r="B14" s="27" t="str">
        <f>HYPERLINK("https://github.com/pytorch-fdn/ambassador-program/issues/411","https://github.com/pytorch-fdn/ambassador-program/issues/411")</f>
        <v>https://github.com/pytorch-fdn/ambassador-program/issues/411</v>
      </c>
      <c r="C14" s="26" t="s">
        <v>1197</v>
      </c>
      <c r="D14" s="26" t="s">
        <v>1198</v>
      </c>
      <c r="E14" s="26" t="s">
        <v>1199</v>
      </c>
      <c r="F14" s="26" t="s">
        <v>175</v>
      </c>
      <c r="G14" s="26" t="s">
        <v>1200</v>
      </c>
      <c r="H14" s="26" t="s">
        <v>103</v>
      </c>
      <c r="I14" s="26" t="s">
        <v>100</v>
      </c>
      <c r="J14" s="26" t="s">
        <v>1201</v>
      </c>
      <c r="K14" s="26" t="s">
        <v>1202</v>
      </c>
      <c r="L14" s="26" t="s">
        <v>100</v>
      </c>
      <c r="M14" s="26" t="s">
        <v>1005</v>
      </c>
      <c r="N14" s="26" t="s">
        <v>100</v>
      </c>
      <c r="O14" s="26" t="s">
        <v>680</v>
      </c>
      <c r="P14" s="26" t="s">
        <v>1204</v>
      </c>
      <c r="Q14" s="26" t="s">
        <v>1205</v>
      </c>
      <c r="R14" s="26" t="s">
        <v>1206</v>
      </c>
      <c r="S14" s="26" t="s">
        <v>1208</v>
      </c>
      <c r="T14" s="26" t="s">
        <v>115</v>
      </c>
      <c r="U14" s="26" t="s">
        <v>922</v>
      </c>
      <c r="V14" s="26" t="s">
        <v>1209</v>
      </c>
      <c r="W14" s="30"/>
      <c r="X14" s="30"/>
      <c r="Y14" s="30"/>
      <c r="Z14" s="30"/>
      <c r="AA14" s="30"/>
      <c r="AB14" s="30"/>
      <c r="AC14" s="30"/>
      <c r="AD14" s="30"/>
      <c r="AE14" s="28" t="str">
        <f t="shared" si="1"/>
        <v/>
      </c>
      <c r="AF14" s="31"/>
      <c r="AG14" s="31"/>
      <c r="AH14" s="29" t="str">
        <f t="shared" si="2"/>
        <v>Not Started</v>
      </c>
    </row>
    <row r="15" ht="192.0" customHeight="1">
      <c r="A15" s="26">
        <v>410.0</v>
      </c>
      <c r="B15" s="27" t="str">
        <f>HYPERLINK("https://github.com/pytorch-fdn/ambassador-program/issues/410","https://github.com/pytorch-fdn/ambassador-program/issues/410")</f>
        <v>https://github.com/pytorch-fdn/ambassador-program/issues/410</v>
      </c>
      <c r="C15" s="26" t="s">
        <v>503</v>
      </c>
      <c r="D15" s="26" t="s">
        <v>504</v>
      </c>
      <c r="E15" s="26" t="s">
        <v>505</v>
      </c>
      <c r="F15" s="26" t="s">
        <v>175</v>
      </c>
      <c r="G15" s="26" t="s">
        <v>509</v>
      </c>
      <c r="H15" s="26" t="s">
        <v>103</v>
      </c>
      <c r="I15" s="26" t="s">
        <v>100</v>
      </c>
      <c r="J15" s="26" t="s">
        <v>512</v>
      </c>
      <c r="K15" s="26" t="s">
        <v>100</v>
      </c>
      <c r="L15" s="26" t="s">
        <v>100</v>
      </c>
      <c r="M15" s="26" t="s">
        <v>513</v>
      </c>
      <c r="N15" s="26" t="s">
        <v>100</v>
      </c>
      <c r="O15" s="26" t="s">
        <v>134</v>
      </c>
      <c r="P15" s="26" t="s">
        <v>515</v>
      </c>
      <c r="Q15" s="26" t="s">
        <v>516</v>
      </c>
      <c r="R15" s="26" t="s">
        <v>517</v>
      </c>
      <c r="S15" s="26" t="s">
        <v>518</v>
      </c>
      <c r="T15" s="26" t="s">
        <v>115</v>
      </c>
      <c r="U15" s="26" t="s">
        <v>145</v>
      </c>
      <c r="V15" s="26" t="s">
        <v>521</v>
      </c>
      <c r="W15" s="30"/>
      <c r="X15" s="30"/>
      <c r="Y15" s="30"/>
      <c r="Z15" s="30"/>
      <c r="AA15" s="30"/>
      <c r="AB15" s="30"/>
      <c r="AC15" s="30"/>
      <c r="AD15" s="30"/>
      <c r="AE15" s="28" t="str">
        <f t="shared" si="1"/>
        <v/>
      </c>
      <c r="AF15" s="31"/>
      <c r="AG15" s="31"/>
      <c r="AH15" s="29" t="str">
        <f t="shared" si="2"/>
        <v>Not Started</v>
      </c>
    </row>
    <row r="16" ht="126.0" customHeight="1">
      <c r="A16" s="26">
        <v>407.0</v>
      </c>
      <c r="B16" s="27" t="str">
        <f>HYPERLINK("https://github.com/pytorch-fdn/ambassador-program/issues/407","https://github.com/pytorch-fdn/ambassador-program/issues/407")</f>
        <v>https://github.com/pytorch-fdn/ambassador-program/issues/407</v>
      </c>
      <c r="C16" s="26" t="s">
        <v>686</v>
      </c>
      <c r="D16" s="26" t="s">
        <v>688</v>
      </c>
      <c r="E16" s="26" t="s">
        <v>690</v>
      </c>
      <c r="F16" s="26" t="s">
        <v>99</v>
      </c>
      <c r="G16" s="26" t="s">
        <v>692</v>
      </c>
      <c r="H16" s="26" t="s">
        <v>103</v>
      </c>
      <c r="I16" s="26" t="s">
        <v>100</v>
      </c>
      <c r="J16" s="26" t="s">
        <v>694</v>
      </c>
      <c r="K16" s="26" t="s">
        <v>697</v>
      </c>
      <c r="L16" s="26" t="s">
        <v>100</v>
      </c>
      <c r="M16" s="26" t="s">
        <v>108</v>
      </c>
      <c r="N16" s="26" t="s">
        <v>100</v>
      </c>
      <c r="O16" s="26" t="s">
        <v>701</v>
      </c>
      <c r="P16" s="26" t="s">
        <v>703</v>
      </c>
      <c r="Q16" s="26" t="s">
        <v>704</v>
      </c>
      <c r="R16" s="26" t="s">
        <v>706</v>
      </c>
      <c r="S16" s="26" t="s">
        <v>707</v>
      </c>
      <c r="T16" s="26" t="s">
        <v>158</v>
      </c>
      <c r="U16" s="26" t="s">
        <v>160</v>
      </c>
      <c r="V16" s="26" t="s">
        <v>118</v>
      </c>
      <c r="W16" s="30"/>
      <c r="X16" s="30"/>
      <c r="Y16" s="30"/>
      <c r="Z16" s="30"/>
      <c r="AA16" s="30"/>
      <c r="AB16" s="30"/>
      <c r="AC16" s="30"/>
      <c r="AD16" s="30"/>
      <c r="AE16" s="28" t="str">
        <f t="shared" si="1"/>
        <v/>
      </c>
      <c r="AF16" s="31"/>
      <c r="AG16" s="31"/>
      <c r="AH16" s="29" t="str">
        <f t="shared" si="2"/>
        <v>Not Started</v>
      </c>
    </row>
    <row r="17" ht="408.75" customHeight="1">
      <c r="A17" s="26">
        <v>392.0</v>
      </c>
      <c r="B17" s="27" t="str">
        <f>HYPERLINK("https://github.com/pytorch-fdn/ambassador-program/issues/392","https://github.com/pytorch-fdn/ambassador-program/issues/392")</f>
        <v>https://github.com/pytorch-fdn/ambassador-program/issues/392</v>
      </c>
      <c r="C17" s="26" t="s">
        <v>1230</v>
      </c>
      <c r="D17" s="26" t="s">
        <v>1232</v>
      </c>
      <c r="E17" s="26" t="s">
        <v>1233</v>
      </c>
      <c r="F17" s="26" t="s">
        <v>261</v>
      </c>
      <c r="G17" s="26" t="s">
        <v>1234</v>
      </c>
      <c r="H17" s="26" t="s">
        <v>98</v>
      </c>
      <c r="I17" s="26" t="s">
        <v>100</v>
      </c>
      <c r="J17" s="26" t="s">
        <v>1235</v>
      </c>
      <c r="K17" s="26" t="s">
        <v>1236</v>
      </c>
      <c r="L17" s="26" t="s">
        <v>100</v>
      </c>
      <c r="M17" s="26" t="s">
        <v>500</v>
      </c>
      <c r="N17" s="26" t="s">
        <v>100</v>
      </c>
      <c r="O17" s="26" t="s">
        <v>279</v>
      </c>
      <c r="P17" s="26" t="s">
        <v>1237</v>
      </c>
      <c r="Q17" s="26" t="s">
        <v>1238</v>
      </c>
      <c r="R17" s="26" t="s">
        <v>1239</v>
      </c>
      <c r="S17" s="26" t="s">
        <v>144</v>
      </c>
      <c r="T17" s="26" t="s">
        <v>158</v>
      </c>
      <c r="U17" s="26" t="s">
        <v>1240</v>
      </c>
      <c r="V17" s="26" t="s">
        <v>1241</v>
      </c>
      <c r="W17" s="30"/>
      <c r="X17" s="30"/>
      <c r="Y17" s="30"/>
      <c r="Z17" s="30"/>
      <c r="AA17" s="30"/>
      <c r="AB17" s="30"/>
      <c r="AC17" s="30"/>
      <c r="AD17" s="30"/>
      <c r="AE17" s="28" t="str">
        <f t="shared" si="1"/>
        <v/>
      </c>
      <c r="AF17" s="31"/>
      <c r="AG17" s="31"/>
      <c r="AH17" s="29" t="str">
        <f t="shared" si="2"/>
        <v>Not Started</v>
      </c>
    </row>
    <row r="18" ht="408.75" customHeight="1">
      <c r="A18" s="26">
        <v>391.0</v>
      </c>
      <c r="B18" s="27" t="str">
        <f>HYPERLINK("https://github.com/pytorch-fdn/ambassador-program/issues/391","https://github.com/pytorch-fdn/ambassador-program/issues/391")</f>
        <v>https://github.com/pytorch-fdn/ambassador-program/issues/391</v>
      </c>
      <c r="C18" s="26" t="s">
        <v>1251</v>
      </c>
      <c r="D18" s="26" t="s">
        <v>1253</v>
      </c>
      <c r="E18" s="26" t="s">
        <v>1254</v>
      </c>
      <c r="F18" s="26" t="s">
        <v>261</v>
      </c>
      <c r="G18" s="26" t="s">
        <v>1258</v>
      </c>
      <c r="H18" s="26" t="s">
        <v>103</v>
      </c>
      <c r="I18" s="26" t="s">
        <v>100</v>
      </c>
      <c r="J18" s="26" t="s">
        <v>1262</v>
      </c>
      <c r="K18" s="26" t="s">
        <v>100</v>
      </c>
      <c r="L18" s="26" t="s">
        <v>100</v>
      </c>
      <c r="M18" s="26" t="s">
        <v>108</v>
      </c>
      <c r="N18" s="26" t="s">
        <v>100</v>
      </c>
      <c r="O18" s="26" t="s">
        <v>1264</v>
      </c>
      <c r="P18" s="26" t="s">
        <v>1265</v>
      </c>
      <c r="Q18" s="26" t="s">
        <v>1266</v>
      </c>
      <c r="R18" s="26" t="s">
        <v>1268</v>
      </c>
      <c r="S18" s="26" t="s">
        <v>1270</v>
      </c>
      <c r="T18" s="26" t="s">
        <v>115</v>
      </c>
      <c r="U18" s="26" t="s">
        <v>145</v>
      </c>
      <c r="V18" s="26" t="s">
        <v>118</v>
      </c>
      <c r="W18" s="30"/>
      <c r="X18" s="30"/>
      <c r="Y18" s="30"/>
      <c r="Z18" s="30"/>
      <c r="AA18" s="30"/>
      <c r="AB18" s="30"/>
      <c r="AC18" s="30"/>
      <c r="AD18" s="30"/>
      <c r="AE18" s="28" t="str">
        <f t="shared" si="1"/>
        <v/>
      </c>
      <c r="AF18" s="31"/>
      <c r="AG18" s="31"/>
      <c r="AH18" s="29" t="str">
        <f t="shared" si="2"/>
        <v>Not Started</v>
      </c>
    </row>
    <row r="19" ht="336.0" customHeight="1">
      <c r="A19" s="26">
        <v>380.0</v>
      </c>
      <c r="B19" s="27" t="str">
        <f>HYPERLINK("https://github.com/pytorch-fdn/ambassador-program/issues/380","https://github.com/pytorch-fdn/ambassador-program/issues/380")</f>
        <v>https://github.com/pytorch-fdn/ambassador-program/issues/380</v>
      </c>
      <c r="C19" s="26" t="s">
        <v>1293</v>
      </c>
      <c r="D19" s="26" t="s">
        <v>1295</v>
      </c>
      <c r="E19" s="26" t="s">
        <v>1297</v>
      </c>
      <c r="F19" s="26" t="s">
        <v>261</v>
      </c>
      <c r="G19" s="26" t="s">
        <v>1298</v>
      </c>
      <c r="H19" s="26" t="s">
        <v>103</v>
      </c>
      <c r="I19" s="26" t="s">
        <v>100</v>
      </c>
      <c r="J19" s="26" t="s">
        <v>1301</v>
      </c>
      <c r="K19" s="26" t="s">
        <v>100</v>
      </c>
      <c r="L19" s="26" t="s">
        <v>100</v>
      </c>
      <c r="M19" s="26" t="s">
        <v>779</v>
      </c>
      <c r="N19" s="26" t="s">
        <v>100</v>
      </c>
      <c r="O19" s="26" t="s">
        <v>1307</v>
      </c>
      <c r="P19" s="26" t="s">
        <v>1308</v>
      </c>
      <c r="Q19" s="26" t="s">
        <v>1309</v>
      </c>
      <c r="R19" s="26" t="s">
        <v>1310</v>
      </c>
      <c r="S19" s="26" t="s">
        <v>1311</v>
      </c>
      <c r="T19" s="26" t="s">
        <v>115</v>
      </c>
      <c r="U19" s="26" t="s">
        <v>145</v>
      </c>
      <c r="V19" s="26" t="s">
        <v>1312</v>
      </c>
      <c r="W19" s="30"/>
      <c r="X19" s="30"/>
      <c r="Y19" s="30"/>
      <c r="Z19" s="30"/>
      <c r="AA19" s="30"/>
      <c r="AB19" s="30"/>
      <c r="AC19" s="30"/>
      <c r="AD19" s="30"/>
      <c r="AE19" s="28" t="str">
        <f t="shared" si="1"/>
        <v/>
      </c>
      <c r="AF19" s="31"/>
      <c r="AG19" s="31"/>
      <c r="AH19" s="29" t="str">
        <f t="shared" si="2"/>
        <v>Not Started</v>
      </c>
    </row>
    <row r="20" ht="408.75" customHeight="1">
      <c r="A20" s="26">
        <v>379.0</v>
      </c>
      <c r="B20" s="27" t="str">
        <f>HYPERLINK("https://github.com/pytorch-fdn/ambassador-program/issues/379","https://github.com/pytorch-fdn/ambassador-program/issues/379")</f>
        <v>https://github.com/pytorch-fdn/ambassador-program/issues/379</v>
      </c>
      <c r="C20" s="26" t="s">
        <v>1332</v>
      </c>
      <c r="D20" s="26" t="s">
        <v>1334</v>
      </c>
      <c r="E20" s="26" t="s">
        <v>1335</v>
      </c>
      <c r="F20" s="26" t="s">
        <v>261</v>
      </c>
      <c r="G20" s="26" t="s">
        <v>1337</v>
      </c>
      <c r="H20" s="26" t="s">
        <v>103</v>
      </c>
      <c r="I20" s="26" t="s">
        <v>100</v>
      </c>
      <c r="J20" s="26" t="s">
        <v>1338</v>
      </c>
      <c r="K20" s="26" t="s">
        <v>100</v>
      </c>
      <c r="L20" s="26" t="s">
        <v>100</v>
      </c>
      <c r="M20" s="26" t="s">
        <v>391</v>
      </c>
      <c r="N20" s="26" t="s">
        <v>100</v>
      </c>
      <c r="O20" s="26" t="s">
        <v>279</v>
      </c>
      <c r="P20" s="26" t="s">
        <v>1340</v>
      </c>
      <c r="Q20" s="26" t="s">
        <v>1341</v>
      </c>
      <c r="R20" s="26" t="s">
        <v>1342</v>
      </c>
      <c r="S20" s="26" t="s">
        <v>169</v>
      </c>
      <c r="T20" s="26" t="s">
        <v>115</v>
      </c>
      <c r="U20" s="26" t="s">
        <v>145</v>
      </c>
      <c r="V20" s="26" t="s">
        <v>1344</v>
      </c>
      <c r="W20" s="30"/>
      <c r="X20" s="30"/>
      <c r="Y20" s="30"/>
      <c r="Z20" s="30"/>
      <c r="AA20" s="30"/>
      <c r="AB20" s="30"/>
      <c r="AC20" s="30"/>
      <c r="AD20" s="30"/>
      <c r="AE20" s="28" t="str">
        <f t="shared" si="1"/>
        <v/>
      </c>
      <c r="AF20" s="31"/>
      <c r="AG20" s="31"/>
      <c r="AH20" s="29" t="str">
        <f t="shared" si="2"/>
        <v>Not Started</v>
      </c>
    </row>
    <row r="21" ht="408.75" customHeight="1">
      <c r="A21" s="26">
        <v>369.0</v>
      </c>
      <c r="B21" s="27" t="str">
        <f>HYPERLINK("https://github.com/pytorch-fdn/ambassador-program/issues/369","https://github.com/pytorch-fdn/ambassador-program/issues/369")</f>
        <v>https://github.com/pytorch-fdn/ambassador-program/issues/369</v>
      </c>
      <c r="C21" s="26" t="s">
        <v>1353</v>
      </c>
      <c r="D21" s="26" t="s">
        <v>1354</v>
      </c>
      <c r="E21" s="26" t="s">
        <v>138</v>
      </c>
      <c r="F21" s="26" t="s">
        <v>175</v>
      </c>
      <c r="G21" s="26" t="s">
        <v>1357</v>
      </c>
      <c r="H21" s="26" t="s">
        <v>103</v>
      </c>
      <c r="I21" s="26" t="s">
        <v>100</v>
      </c>
      <c r="J21" s="26" t="s">
        <v>1360</v>
      </c>
      <c r="K21" s="26" t="s">
        <v>1361</v>
      </c>
      <c r="L21" s="26" t="s">
        <v>100</v>
      </c>
      <c r="M21" s="26" t="s">
        <v>108</v>
      </c>
      <c r="N21" s="26" t="s">
        <v>100</v>
      </c>
      <c r="O21" s="26" t="s">
        <v>147</v>
      </c>
      <c r="P21" s="26" t="s">
        <v>1368</v>
      </c>
      <c r="Q21" s="26" t="s">
        <v>1370</v>
      </c>
      <c r="R21" s="26" t="s">
        <v>1372</v>
      </c>
      <c r="S21" s="26" t="s">
        <v>616</v>
      </c>
      <c r="T21" s="26" t="s">
        <v>158</v>
      </c>
      <c r="U21" s="26" t="s">
        <v>160</v>
      </c>
      <c r="V21" s="26" t="s">
        <v>1374</v>
      </c>
      <c r="W21" s="30"/>
      <c r="X21" s="30"/>
      <c r="Y21" s="30"/>
      <c r="Z21" s="30"/>
      <c r="AA21" s="30"/>
      <c r="AB21" s="30"/>
      <c r="AC21" s="30"/>
      <c r="AD21" s="30"/>
      <c r="AE21" s="28" t="str">
        <f t="shared" si="1"/>
        <v/>
      </c>
      <c r="AF21" s="31"/>
      <c r="AG21" s="31"/>
      <c r="AH21" s="29" t="str">
        <f t="shared" si="2"/>
        <v>Not Started</v>
      </c>
    </row>
    <row r="22" ht="126.0" customHeight="1">
      <c r="A22" s="26">
        <v>368.0</v>
      </c>
      <c r="B22" s="27" t="str">
        <f>HYPERLINK("https://github.com/pytorch-fdn/ambassador-program/issues/368","https://github.com/pytorch-fdn/ambassador-program/issues/368")</f>
        <v>https://github.com/pytorch-fdn/ambassador-program/issues/368</v>
      </c>
      <c r="C22" s="26" t="s">
        <v>1377</v>
      </c>
      <c r="D22" s="26" t="s">
        <v>1378</v>
      </c>
      <c r="E22" s="26" t="s">
        <v>1379</v>
      </c>
      <c r="F22" s="26" t="s">
        <v>99</v>
      </c>
      <c r="G22" s="26" t="s">
        <v>100</v>
      </c>
      <c r="H22" s="26" t="s">
        <v>103</v>
      </c>
      <c r="I22" s="26" t="s">
        <v>100</v>
      </c>
      <c r="J22" s="26" t="s">
        <v>1381</v>
      </c>
      <c r="K22" s="26" t="s">
        <v>100</v>
      </c>
      <c r="L22" s="26" t="s">
        <v>100</v>
      </c>
      <c r="M22" s="26" t="s">
        <v>108</v>
      </c>
      <c r="N22" s="26" t="s">
        <v>100</v>
      </c>
      <c r="O22" s="26" t="s">
        <v>279</v>
      </c>
      <c r="P22" s="26" t="s">
        <v>1382</v>
      </c>
      <c r="Q22" s="26" t="s">
        <v>1383</v>
      </c>
      <c r="R22" s="26" t="s">
        <v>1384</v>
      </c>
      <c r="S22" s="26" t="s">
        <v>144</v>
      </c>
      <c r="T22" s="26" t="s">
        <v>121</v>
      </c>
      <c r="U22" s="26" t="s">
        <v>1385</v>
      </c>
      <c r="V22" s="26" t="s">
        <v>1386</v>
      </c>
      <c r="W22" s="30"/>
      <c r="X22" s="30"/>
      <c r="Y22" s="30"/>
      <c r="Z22" s="30"/>
      <c r="AA22" s="30"/>
      <c r="AB22" s="30"/>
      <c r="AC22" s="30"/>
      <c r="AD22" s="30"/>
      <c r="AE22" s="28" t="str">
        <f t="shared" si="1"/>
        <v/>
      </c>
      <c r="AF22" s="31"/>
      <c r="AG22" s="31"/>
      <c r="AH22" s="29" t="str">
        <f t="shared" si="2"/>
        <v>Not Started</v>
      </c>
    </row>
    <row r="23" ht="408.75" customHeight="1">
      <c r="A23" s="26">
        <v>347.0</v>
      </c>
      <c r="B23" s="27" t="str">
        <f>HYPERLINK("https://github.com/pytorch-fdn/ambassador-program/issues/347","https://github.com/pytorch-fdn/ambassador-program/issues/347")</f>
        <v>https://github.com/pytorch-fdn/ambassador-program/issues/347</v>
      </c>
      <c r="C23" s="26" t="s">
        <v>1054</v>
      </c>
      <c r="D23" s="26" t="s">
        <v>1055</v>
      </c>
      <c r="E23" s="26" t="s">
        <v>1056</v>
      </c>
      <c r="F23" s="26" t="s">
        <v>95</v>
      </c>
      <c r="G23" s="26" t="s">
        <v>1057</v>
      </c>
      <c r="H23" s="26" t="s">
        <v>103</v>
      </c>
      <c r="I23" s="26" t="s">
        <v>100</v>
      </c>
      <c r="J23" s="26" t="s">
        <v>1058</v>
      </c>
      <c r="K23" s="26" t="s">
        <v>100</v>
      </c>
      <c r="L23" s="26" t="s">
        <v>100</v>
      </c>
      <c r="M23" s="26" t="s">
        <v>1059</v>
      </c>
      <c r="N23" s="26" t="s">
        <v>1060</v>
      </c>
      <c r="O23" s="26" t="s">
        <v>1061</v>
      </c>
      <c r="P23" s="26" t="s">
        <v>1062</v>
      </c>
      <c r="Q23" s="26" t="s">
        <v>1063</v>
      </c>
      <c r="R23" s="26" t="s">
        <v>1066</v>
      </c>
      <c r="S23" s="26" t="s">
        <v>1068</v>
      </c>
      <c r="T23" s="26" t="s">
        <v>115</v>
      </c>
      <c r="U23" s="26" t="s">
        <v>866</v>
      </c>
      <c r="V23" s="26" t="s">
        <v>118</v>
      </c>
      <c r="W23" s="30"/>
      <c r="X23" s="30"/>
      <c r="Y23" s="30"/>
      <c r="Z23" s="30"/>
      <c r="AA23" s="30"/>
      <c r="AB23" s="30"/>
      <c r="AC23" s="30"/>
      <c r="AD23" s="30"/>
      <c r="AE23" s="28" t="str">
        <f t="shared" si="1"/>
        <v/>
      </c>
      <c r="AF23" s="31"/>
      <c r="AG23" s="31"/>
      <c r="AH23" s="29" t="str">
        <f t="shared" si="2"/>
        <v>Not Started</v>
      </c>
    </row>
    <row r="24" ht="324.0" customHeight="1">
      <c r="A24" s="26">
        <v>342.0</v>
      </c>
      <c r="B24" s="27" t="str">
        <f>HYPERLINK("https://github.com/pytorch-fdn/ambassador-program/issues/342","https://github.com/pytorch-fdn/ambassador-program/issues/342")</f>
        <v>https://github.com/pytorch-fdn/ambassador-program/issues/342</v>
      </c>
      <c r="C24" s="26" t="s">
        <v>961</v>
      </c>
      <c r="D24" s="26" t="s">
        <v>962</v>
      </c>
      <c r="E24" s="26" t="s">
        <v>964</v>
      </c>
      <c r="F24" s="26" t="s">
        <v>175</v>
      </c>
      <c r="G24" s="26" t="s">
        <v>965</v>
      </c>
      <c r="H24" s="26" t="s">
        <v>103</v>
      </c>
      <c r="I24" s="26" t="s">
        <v>100</v>
      </c>
      <c r="J24" s="26" t="s">
        <v>967</v>
      </c>
      <c r="K24" s="26" t="s">
        <v>100</v>
      </c>
      <c r="L24" s="26" t="s">
        <v>100</v>
      </c>
      <c r="M24" s="26" t="s">
        <v>954</v>
      </c>
      <c r="N24" s="26" t="s">
        <v>971</v>
      </c>
      <c r="O24" s="26" t="s">
        <v>972</v>
      </c>
      <c r="P24" s="26" t="s">
        <v>976</v>
      </c>
      <c r="Q24" s="26" t="s">
        <v>979</v>
      </c>
      <c r="R24" s="26" t="s">
        <v>982</v>
      </c>
      <c r="S24" s="26" t="s">
        <v>985</v>
      </c>
      <c r="T24" s="26" t="s">
        <v>115</v>
      </c>
      <c r="U24" s="26" t="s">
        <v>145</v>
      </c>
      <c r="V24" s="26" t="s">
        <v>990</v>
      </c>
      <c r="W24" s="30"/>
      <c r="X24" s="30"/>
      <c r="Y24" s="30"/>
      <c r="Z24" s="30"/>
      <c r="AA24" s="30"/>
      <c r="AB24" s="30"/>
      <c r="AC24" s="30"/>
      <c r="AD24" s="30"/>
      <c r="AE24" s="28" t="str">
        <f t="shared" si="1"/>
        <v/>
      </c>
      <c r="AF24" s="31"/>
      <c r="AG24" s="31"/>
      <c r="AH24" s="29" t="str">
        <f t="shared" si="2"/>
        <v>Not Started</v>
      </c>
    </row>
    <row r="25" ht="126.0" customHeight="1">
      <c r="A25" s="26">
        <v>339.0</v>
      </c>
      <c r="B25" s="27" t="str">
        <f>HYPERLINK("https://github.com/pytorch-fdn/ambassador-program/issues/339","https://github.com/pytorch-fdn/ambassador-program/issues/339")</f>
        <v>https://github.com/pytorch-fdn/ambassador-program/issues/339</v>
      </c>
      <c r="C25" s="26" t="s">
        <v>1416</v>
      </c>
      <c r="D25" s="26" t="s">
        <v>1417</v>
      </c>
      <c r="E25" s="26" t="s">
        <v>1419</v>
      </c>
      <c r="F25" s="26" t="s">
        <v>99</v>
      </c>
      <c r="G25" s="26" t="s">
        <v>100</v>
      </c>
      <c r="H25" s="26" t="s">
        <v>98</v>
      </c>
      <c r="I25" s="26" t="s">
        <v>100</v>
      </c>
      <c r="J25" s="26" t="s">
        <v>100</v>
      </c>
      <c r="K25" s="26" t="s">
        <v>100</v>
      </c>
      <c r="L25" s="26" t="s">
        <v>100</v>
      </c>
      <c r="M25" s="26" t="s">
        <v>162</v>
      </c>
      <c r="N25" s="26" t="s">
        <v>100</v>
      </c>
      <c r="O25" s="26" t="s">
        <v>643</v>
      </c>
      <c r="P25" s="26" t="s">
        <v>1110</v>
      </c>
      <c r="Q25" s="26" t="s">
        <v>1425</v>
      </c>
      <c r="R25" s="26" t="s">
        <v>1110</v>
      </c>
      <c r="S25" s="26" t="s">
        <v>1426</v>
      </c>
      <c r="T25" s="26" t="s">
        <v>115</v>
      </c>
      <c r="U25" s="26" t="s">
        <v>434</v>
      </c>
      <c r="V25" s="26" t="s">
        <v>118</v>
      </c>
      <c r="W25" s="30"/>
      <c r="X25" s="30"/>
      <c r="Y25" s="30"/>
      <c r="Z25" s="30"/>
      <c r="AA25" s="30"/>
      <c r="AB25" s="30"/>
      <c r="AC25" s="30"/>
      <c r="AD25" s="30"/>
      <c r="AE25" s="28" t="str">
        <f t="shared" si="1"/>
        <v/>
      </c>
      <c r="AF25" s="31"/>
      <c r="AG25" s="31"/>
      <c r="AH25" s="29" t="str">
        <f t="shared" si="2"/>
        <v>Not Started</v>
      </c>
    </row>
    <row r="26" ht="408.75" customHeight="1">
      <c r="A26" s="26">
        <v>337.0</v>
      </c>
      <c r="B26" s="27" t="str">
        <f>HYPERLINK("https://github.com/pytorch-fdn/ambassador-program/issues/337","https://github.com/pytorch-fdn/ambassador-program/issues/337")</f>
        <v>https://github.com/pytorch-fdn/ambassador-program/issues/337</v>
      </c>
      <c r="C26" s="26" t="s">
        <v>1433</v>
      </c>
      <c r="D26" s="26" t="s">
        <v>1434</v>
      </c>
      <c r="E26" s="26" t="s">
        <v>1435</v>
      </c>
      <c r="F26" s="26" t="s">
        <v>175</v>
      </c>
      <c r="G26" s="26" t="s">
        <v>1437</v>
      </c>
      <c r="H26" s="26" t="s">
        <v>103</v>
      </c>
      <c r="I26" s="26" t="s">
        <v>100</v>
      </c>
      <c r="J26" s="26" t="s">
        <v>1439</v>
      </c>
      <c r="K26" s="26" t="s">
        <v>100</v>
      </c>
      <c r="L26" s="26" t="s">
        <v>100</v>
      </c>
      <c r="M26" s="26" t="s">
        <v>162</v>
      </c>
      <c r="N26" s="26" t="s">
        <v>100</v>
      </c>
      <c r="O26" s="26" t="s">
        <v>921</v>
      </c>
      <c r="P26" s="26" t="s">
        <v>1442</v>
      </c>
      <c r="Q26" s="26" t="s">
        <v>1447</v>
      </c>
      <c r="R26" s="26" t="s">
        <v>1449</v>
      </c>
      <c r="S26" s="26" t="s">
        <v>1450</v>
      </c>
      <c r="T26" s="26" t="s">
        <v>158</v>
      </c>
      <c r="U26" s="26" t="s">
        <v>552</v>
      </c>
      <c r="V26" s="26" t="s">
        <v>118</v>
      </c>
      <c r="W26" s="30"/>
      <c r="X26" s="30"/>
      <c r="Y26" s="30"/>
      <c r="Z26" s="30"/>
      <c r="AA26" s="30"/>
      <c r="AB26" s="30"/>
      <c r="AC26" s="30"/>
      <c r="AD26" s="30"/>
      <c r="AE26" s="28" t="str">
        <f t="shared" si="1"/>
        <v/>
      </c>
      <c r="AF26" s="31"/>
      <c r="AG26" s="31"/>
      <c r="AH26" s="29" t="str">
        <f t="shared" si="2"/>
        <v>Not Started</v>
      </c>
    </row>
    <row r="27" ht="336.0" customHeight="1">
      <c r="A27" s="26">
        <v>331.0</v>
      </c>
      <c r="B27" s="27" t="str">
        <f>HYPERLINK("https://github.com/pytorch-fdn/ambassador-program/issues/331","https://github.com/pytorch-fdn/ambassador-program/issues/331")</f>
        <v>https://github.com/pytorch-fdn/ambassador-program/issues/331</v>
      </c>
      <c r="C27" s="26" t="s">
        <v>1466</v>
      </c>
      <c r="D27" s="26" t="s">
        <v>1469</v>
      </c>
      <c r="E27" s="26" t="s">
        <v>1404</v>
      </c>
      <c r="F27" s="26" t="s">
        <v>175</v>
      </c>
      <c r="G27" s="26" t="s">
        <v>1472</v>
      </c>
      <c r="H27" s="26" t="s">
        <v>98</v>
      </c>
      <c r="I27" s="26" t="s">
        <v>100</v>
      </c>
      <c r="J27" s="26" t="s">
        <v>1474</v>
      </c>
      <c r="K27" s="26" t="s">
        <v>1475</v>
      </c>
      <c r="L27" s="26" t="s">
        <v>1476</v>
      </c>
      <c r="M27" s="26" t="s">
        <v>108</v>
      </c>
      <c r="N27" s="26" t="s">
        <v>100</v>
      </c>
      <c r="O27" s="26" t="s">
        <v>1477</v>
      </c>
      <c r="P27" s="26" t="s">
        <v>1478</v>
      </c>
      <c r="Q27" s="26" t="s">
        <v>1479</v>
      </c>
      <c r="R27" s="26" t="s">
        <v>1480</v>
      </c>
      <c r="S27" s="26" t="s">
        <v>1481</v>
      </c>
      <c r="T27" s="26" t="s">
        <v>115</v>
      </c>
      <c r="U27" s="26" t="s">
        <v>145</v>
      </c>
      <c r="V27" s="26" t="s">
        <v>118</v>
      </c>
      <c r="W27" s="30"/>
      <c r="X27" s="30"/>
      <c r="Y27" s="30"/>
      <c r="Z27" s="30"/>
      <c r="AA27" s="30"/>
      <c r="AB27" s="30"/>
      <c r="AC27" s="30"/>
      <c r="AD27" s="30"/>
      <c r="AE27" s="28" t="str">
        <f t="shared" si="1"/>
        <v/>
      </c>
      <c r="AF27" s="31"/>
      <c r="AG27" s="31"/>
      <c r="AH27" s="29" t="str">
        <f t="shared" si="2"/>
        <v>Not Started</v>
      </c>
    </row>
    <row r="28" ht="240.0" customHeight="1">
      <c r="A28" s="26">
        <v>330.0</v>
      </c>
      <c r="B28" s="27" t="str">
        <f>HYPERLINK("https://github.com/pytorch-fdn/ambassador-program/issues/330","https://github.com/pytorch-fdn/ambassador-program/issues/330")</f>
        <v>https://github.com/pytorch-fdn/ambassador-program/issues/330</v>
      </c>
      <c r="C28" s="26" t="s">
        <v>1484</v>
      </c>
      <c r="D28" s="26" t="s">
        <v>1485</v>
      </c>
      <c r="E28" s="26" t="s">
        <v>1486</v>
      </c>
      <c r="F28" s="26" t="s">
        <v>95</v>
      </c>
      <c r="G28" s="26" t="s">
        <v>1488</v>
      </c>
      <c r="H28" s="26" t="s">
        <v>103</v>
      </c>
      <c r="I28" s="26" t="s">
        <v>100</v>
      </c>
      <c r="J28" s="26" t="s">
        <v>1489</v>
      </c>
      <c r="K28" s="26" t="s">
        <v>100</v>
      </c>
      <c r="L28" s="26" t="s">
        <v>100</v>
      </c>
      <c r="M28" s="26" t="s">
        <v>334</v>
      </c>
      <c r="N28" s="26" t="s">
        <v>1490</v>
      </c>
      <c r="O28" s="26" t="s">
        <v>107</v>
      </c>
      <c r="P28" s="26" t="s">
        <v>1491</v>
      </c>
      <c r="Q28" s="26" t="s">
        <v>1492</v>
      </c>
      <c r="R28" s="26" t="s">
        <v>1493</v>
      </c>
      <c r="S28" s="26" t="s">
        <v>1494</v>
      </c>
      <c r="T28" s="26" t="s">
        <v>121</v>
      </c>
      <c r="U28" s="26" t="s">
        <v>1495</v>
      </c>
      <c r="V28" s="26" t="s">
        <v>1496</v>
      </c>
      <c r="W28" s="30"/>
      <c r="X28" s="30"/>
      <c r="Y28" s="30"/>
      <c r="Z28" s="30"/>
      <c r="AA28" s="30"/>
      <c r="AB28" s="30"/>
      <c r="AC28" s="30"/>
      <c r="AD28" s="30"/>
      <c r="AE28" s="28" t="str">
        <f t="shared" si="1"/>
        <v/>
      </c>
      <c r="AF28" s="31"/>
      <c r="AG28" s="31"/>
      <c r="AH28" s="29" t="str">
        <f t="shared" si="2"/>
        <v>Not Started</v>
      </c>
    </row>
    <row r="29" ht="408.75" customHeight="1">
      <c r="A29" s="32">
        <v>327.0</v>
      </c>
      <c r="B29" s="33" t="str">
        <f>HYPERLINK("https://github.com/pytorch-fdn/ambassador-program/issues/327","https://github.com/pytorch-fdn/ambassador-program/issues/327")</f>
        <v>https://github.com/pytorch-fdn/ambassador-program/issues/327</v>
      </c>
      <c r="C29" s="32" t="s">
        <v>1504</v>
      </c>
      <c r="D29" s="32" t="s">
        <v>1505</v>
      </c>
      <c r="E29" s="32" t="s">
        <v>1506</v>
      </c>
      <c r="F29" s="32" t="s">
        <v>261</v>
      </c>
      <c r="G29" s="32" t="s">
        <v>1508</v>
      </c>
      <c r="H29" s="32" t="s">
        <v>98</v>
      </c>
      <c r="I29" s="32" t="s">
        <v>100</v>
      </c>
      <c r="J29" s="32" t="s">
        <v>1509</v>
      </c>
      <c r="K29" s="32" t="s">
        <v>1510</v>
      </c>
      <c r="L29" s="32" t="s">
        <v>1511</v>
      </c>
      <c r="M29" s="32" t="s">
        <v>273</v>
      </c>
      <c r="N29" s="32" t="s">
        <v>100</v>
      </c>
      <c r="O29" s="32" t="s">
        <v>1513</v>
      </c>
      <c r="P29" s="32" t="s">
        <v>1516</v>
      </c>
      <c r="Q29" s="32" t="s">
        <v>1517</v>
      </c>
      <c r="R29" s="32" t="s">
        <v>1518</v>
      </c>
      <c r="S29" s="32" t="s">
        <v>1180</v>
      </c>
      <c r="T29" s="32" t="s">
        <v>121</v>
      </c>
      <c r="U29" s="32" t="s">
        <v>255</v>
      </c>
      <c r="V29" s="32" t="s">
        <v>1519</v>
      </c>
      <c r="W29" s="30"/>
      <c r="X29" s="30"/>
      <c r="Y29" s="30"/>
      <c r="Z29" s="30"/>
      <c r="AA29" s="30"/>
      <c r="AB29" s="30"/>
      <c r="AC29" s="30"/>
      <c r="AD29" s="30"/>
      <c r="AE29" s="34" t="str">
        <f t="shared" si="1"/>
        <v/>
      </c>
      <c r="AF29" s="31"/>
      <c r="AG29" s="31"/>
      <c r="AH29" s="35" t="str">
        <f t="shared" si="2"/>
        <v>Not Started</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1114</v>
      </c>
    </row>
    <row r="2" ht="27.75" customHeight="1">
      <c r="A2" s="2" t="s">
        <v>51</v>
      </c>
    </row>
    <row r="3">
      <c r="A3" s="14" t="s">
        <v>53</v>
      </c>
      <c r="W3" s="15" t="s">
        <v>54</v>
      </c>
    </row>
    <row r="4" ht="91.5"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8" t="s">
        <v>1115</v>
      </c>
      <c r="AE4" s="19" t="s">
        <v>86</v>
      </c>
      <c r="AF4" s="16" t="s">
        <v>87</v>
      </c>
      <c r="AG4" s="16" t="s">
        <v>88</v>
      </c>
      <c r="AH4" s="19" t="s">
        <v>89</v>
      </c>
    </row>
    <row r="5" ht="408.75" customHeight="1">
      <c r="A5" s="20">
        <v>480.0</v>
      </c>
      <c r="B5" s="21" t="str">
        <f>HYPERLINK("https://github.com/pytorch-fdn/ambassador-program/issues/480","https://github.com/pytorch-fdn/ambassador-program/issues/480")</f>
        <v>https://github.com/pytorch-fdn/ambassador-program/issues/480</v>
      </c>
      <c r="C5" s="20" t="s">
        <v>1116</v>
      </c>
      <c r="D5" s="20" t="s">
        <v>1117</v>
      </c>
      <c r="E5" s="20" t="s">
        <v>1118</v>
      </c>
      <c r="F5" s="20" t="s">
        <v>261</v>
      </c>
      <c r="G5" s="20" t="s">
        <v>1119</v>
      </c>
      <c r="H5" s="20" t="s">
        <v>103</v>
      </c>
      <c r="I5" s="20" t="s">
        <v>100</v>
      </c>
      <c r="J5" s="20" t="s">
        <v>1120</v>
      </c>
      <c r="K5" s="20" t="s">
        <v>1121</v>
      </c>
      <c r="L5" s="20" t="s">
        <v>100</v>
      </c>
      <c r="M5" s="20" t="s">
        <v>779</v>
      </c>
      <c r="N5" s="20" t="s">
        <v>100</v>
      </c>
      <c r="O5" s="20" t="s">
        <v>1122</v>
      </c>
      <c r="P5" s="20" t="s">
        <v>1123</v>
      </c>
      <c r="Q5" s="20" t="s">
        <v>1124</v>
      </c>
      <c r="R5" s="20" t="s">
        <v>1125</v>
      </c>
      <c r="S5" s="20" t="s">
        <v>1126</v>
      </c>
      <c r="T5" s="20" t="s">
        <v>198</v>
      </c>
      <c r="U5" s="20" t="s">
        <v>1118</v>
      </c>
      <c r="V5" s="20" t="s">
        <v>118</v>
      </c>
      <c r="W5" s="22">
        <v>1.0</v>
      </c>
      <c r="X5" s="22">
        <v>1.0</v>
      </c>
      <c r="Y5" s="22">
        <v>2.0</v>
      </c>
      <c r="Z5" s="22">
        <v>2.0</v>
      </c>
      <c r="AA5" s="22">
        <v>3.0</v>
      </c>
      <c r="AB5" s="22">
        <v>3.0</v>
      </c>
      <c r="AC5" s="22">
        <v>2.0</v>
      </c>
      <c r="AD5" s="22">
        <v>1.0</v>
      </c>
      <c r="AE5" s="23">
        <f t="shared" ref="AE5:AE29" si="1">IF(COUNT(W5:AD5)=8,SUM(W5:AD5),"")</f>
        <v>15</v>
      </c>
      <c r="AF5" s="24" t="s">
        <v>124</v>
      </c>
      <c r="AG5" s="24" t="s">
        <v>1128</v>
      </c>
      <c r="AH5" s="25" t="str">
        <f t="shared" ref="AH5:AH29" si="2">IF(AND(COUNT(W5:AD5)=0,AF5="",AG5=""),"Not Started",IF(AF5="Abstain (Conflict of Interest)",IF(AG5&lt;&gt;"","Reassignment Required","Add Conflict Note"),IF(AND(COUNT(W5:AD5)=8,AF5&lt;&gt;"",AG5&lt;&gt;""),"Complete","In Progress")))</f>
        <v>Complete</v>
      </c>
    </row>
    <row r="6" ht="408.75" customHeight="1">
      <c r="A6" s="26">
        <v>470.0</v>
      </c>
      <c r="B6" s="27" t="str">
        <f>HYPERLINK("https://github.com/pytorch-fdn/ambassador-program/issues/470","https://github.com/pytorch-fdn/ambassador-program/issues/470")</f>
        <v>https://github.com/pytorch-fdn/ambassador-program/issues/470</v>
      </c>
      <c r="C6" s="26" t="s">
        <v>1129</v>
      </c>
      <c r="D6" s="26" t="s">
        <v>1130</v>
      </c>
      <c r="E6" s="26" t="s">
        <v>1131</v>
      </c>
      <c r="F6" s="26" t="s">
        <v>95</v>
      </c>
      <c r="G6" s="26" t="s">
        <v>1132</v>
      </c>
      <c r="H6" s="26" t="s">
        <v>103</v>
      </c>
      <c r="I6" s="26" t="s">
        <v>100</v>
      </c>
      <c r="J6" s="26" t="s">
        <v>1133</v>
      </c>
      <c r="K6" s="26" t="s">
        <v>100</v>
      </c>
      <c r="L6" s="26" t="s">
        <v>100</v>
      </c>
      <c r="M6" s="26" t="s">
        <v>500</v>
      </c>
      <c r="N6" s="26" t="s">
        <v>100</v>
      </c>
      <c r="O6" s="26" t="s">
        <v>279</v>
      </c>
      <c r="P6" s="26" t="s">
        <v>1138</v>
      </c>
      <c r="Q6" s="26" t="s">
        <v>1140</v>
      </c>
      <c r="R6" s="26" t="s">
        <v>1142</v>
      </c>
      <c r="S6" s="26" t="s">
        <v>144</v>
      </c>
      <c r="T6" s="26" t="s">
        <v>121</v>
      </c>
      <c r="U6" s="26" t="s">
        <v>1143</v>
      </c>
      <c r="V6" s="26" t="s">
        <v>1144</v>
      </c>
      <c r="W6" s="22">
        <v>4.0</v>
      </c>
      <c r="X6" s="22">
        <v>4.0</v>
      </c>
      <c r="Y6" s="22">
        <v>5.0</v>
      </c>
      <c r="Z6" s="22">
        <v>5.0</v>
      </c>
      <c r="AA6" s="22">
        <v>4.0</v>
      </c>
      <c r="AB6" s="22">
        <v>4.0</v>
      </c>
      <c r="AC6" s="22">
        <v>4.0</v>
      </c>
      <c r="AD6" s="22">
        <v>2.0</v>
      </c>
      <c r="AE6" s="28">
        <f t="shared" si="1"/>
        <v>32</v>
      </c>
      <c r="AF6" s="24" t="s">
        <v>195</v>
      </c>
      <c r="AG6" s="24" t="s">
        <v>1149</v>
      </c>
      <c r="AH6" s="29" t="str">
        <f t="shared" si="2"/>
        <v>Complete</v>
      </c>
    </row>
    <row r="7" ht="408.75" customHeight="1">
      <c r="A7" s="26">
        <v>457.0</v>
      </c>
      <c r="B7" s="27" t="str">
        <f>HYPERLINK("https://github.com/pytorch-fdn/ambassador-program/issues/457","https://github.com/pytorch-fdn/ambassador-program/issues/457")</f>
        <v>https://github.com/pytorch-fdn/ambassador-program/issues/457</v>
      </c>
      <c r="C7" s="26" t="s">
        <v>305</v>
      </c>
      <c r="D7" s="26" t="s">
        <v>306</v>
      </c>
      <c r="E7" s="26" t="s">
        <v>307</v>
      </c>
      <c r="F7" s="26" t="s">
        <v>261</v>
      </c>
      <c r="G7" s="26" t="s">
        <v>308</v>
      </c>
      <c r="H7" s="26" t="s">
        <v>103</v>
      </c>
      <c r="I7" s="26" t="s">
        <v>100</v>
      </c>
      <c r="J7" s="26" t="s">
        <v>309</v>
      </c>
      <c r="K7" s="26" t="s">
        <v>310</v>
      </c>
      <c r="L7" s="26" t="s">
        <v>100</v>
      </c>
      <c r="M7" s="26" t="s">
        <v>108</v>
      </c>
      <c r="N7" s="26" t="s">
        <v>100</v>
      </c>
      <c r="O7" s="26" t="s">
        <v>134</v>
      </c>
      <c r="P7" s="26" t="s">
        <v>313</v>
      </c>
      <c r="Q7" s="26" t="s">
        <v>318</v>
      </c>
      <c r="R7" s="26" t="s">
        <v>323</v>
      </c>
      <c r="S7" s="26" t="s">
        <v>144</v>
      </c>
      <c r="T7" s="26" t="s">
        <v>158</v>
      </c>
      <c r="U7" s="26" t="s">
        <v>329</v>
      </c>
      <c r="V7" s="26" t="s">
        <v>340</v>
      </c>
      <c r="W7" s="22">
        <v>2.0</v>
      </c>
      <c r="X7" s="22">
        <v>3.0</v>
      </c>
      <c r="Y7" s="22">
        <v>3.0</v>
      </c>
      <c r="Z7" s="22">
        <v>3.0</v>
      </c>
      <c r="AA7" s="22">
        <v>4.0</v>
      </c>
      <c r="AB7" s="22">
        <v>3.0</v>
      </c>
      <c r="AC7" s="22">
        <v>3.0</v>
      </c>
      <c r="AD7" s="22">
        <v>3.0</v>
      </c>
      <c r="AE7" s="28">
        <f t="shared" si="1"/>
        <v>24</v>
      </c>
      <c r="AF7" s="24" t="s">
        <v>195</v>
      </c>
      <c r="AG7" s="24" t="s">
        <v>1172</v>
      </c>
      <c r="AH7" s="29" t="str">
        <f t="shared" si="2"/>
        <v>Complete</v>
      </c>
    </row>
    <row r="8" ht="408.75" customHeight="1">
      <c r="A8" s="26">
        <v>456.0</v>
      </c>
      <c r="B8" s="27" t="str">
        <f>HYPERLINK("https://github.com/pytorch-fdn/ambassador-program/issues/456","https://github.com/pytorch-fdn/ambassador-program/issues/456")</f>
        <v>https://github.com/pytorch-fdn/ambassador-program/issues/456</v>
      </c>
      <c r="C8" s="26" t="s">
        <v>1134</v>
      </c>
      <c r="D8" s="26" t="s">
        <v>1135</v>
      </c>
      <c r="E8" s="26" t="s">
        <v>531</v>
      </c>
      <c r="F8" s="26" t="s">
        <v>175</v>
      </c>
      <c r="G8" s="26" t="s">
        <v>1136</v>
      </c>
      <c r="H8" s="26" t="s">
        <v>98</v>
      </c>
      <c r="I8" s="26" t="s">
        <v>100</v>
      </c>
      <c r="J8" s="26" t="s">
        <v>1139</v>
      </c>
      <c r="K8" s="26" t="s">
        <v>100</v>
      </c>
      <c r="L8" s="26" t="s">
        <v>1141</v>
      </c>
      <c r="M8" s="26" t="s">
        <v>391</v>
      </c>
      <c r="N8" s="26" t="s">
        <v>100</v>
      </c>
      <c r="O8" s="26" t="s">
        <v>426</v>
      </c>
      <c r="P8" s="26" t="s">
        <v>1145</v>
      </c>
      <c r="Q8" s="26" t="s">
        <v>1146</v>
      </c>
      <c r="R8" s="26" t="s">
        <v>1147</v>
      </c>
      <c r="S8" s="26" t="s">
        <v>1148</v>
      </c>
      <c r="T8" s="26" t="s">
        <v>551</v>
      </c>
      <c r="U8" s="26" t="s">
        <v>552</v>
      </c>
      <c r="V8" s="26" t="s">
        <v>1150</v>
      </c>
      <c r="W8" s="22">
        <v>2.0</v>
      </c>
      <c r="X8" s="22">
        <v>3.0</v>
      </c>
      <c r="Y8" s="22">
        <v>1.0</v>
      </c>
      <c r="Z8" s="22">
        <v>2.0</v>
      </c>
      <c r="AA8" s="22">
        <v>4.0</v>
      </c>
      <c r="AB8" s="22">
        <v>4.0</v>
      </c>
      <c r="AC8" s="22">
        <v>2.0</v>
      </c>
      <c r="AD8" s="22">
        <v>3.0</v>
      </c>
      <c r="AE8" s="28">
        <f t="shared" si="1"/>
        <v>21</v>
      </c>
      <c r="AF8" s="24" t="s">
        <v>303</v>
      </c>
      <c r="AG8" s="24" t="s">
        <v>1183</v>
      </c>
      <c r="AH8" s="29" t="str">
        <f t="shared" si="2"/>
        <v>Complete</v>
      </c>
    </row>
    <row r="9" ht="408.75" customHeight="1">
      <c r="A9" s="26">
        <v>454.0</v>
      </c>
      <c r="B9" s="27" t="str">
        <f>HYPERLINK("https://github.com/pytorch-fdn/ambassador-program/issues/454","https://github.com/pytorch-fdn/ambassador-program/issues/454")</f>
        <v>https://github.com/pytorch-fdn/ambassador-program/issues/454</v>
      </c>
      <c r="C9" s="26" t="s">
        <v>1184</v>
      </c>
      <c r="D9" s="26" t="s">
        <v>1185</v>
      </c>
      <c r="E9" s="26" t="s">
        <v>531</v>
      </c>
      <c r="F9" s="26" t="s">
        <v>261</v>
      </c>
      <c r="G9" s="26" t="s">
        <v>1186</v>
      </c>
      <c r="H9" s="26" t="s">
        <v>103</v>
      </c>
      <c r="I9" s="26" t="s">
        <v>100</v>
      </c>
      <c r="J9" s="26" t="s">
        <v>1187</v>
      </c>
      <c r="K9" s="26" t="s">
        <v>1188</v>
      </c>
      <c r="L9" s="26" t="s">
        <v>100</v>
      </c>
      <c r="M9" s="26" t="s">
        <v>162</v>
      </c>
      <c r="N9" s="26" t="s">
        <v>100</v>
      </c>
      <c r="O9" s="26" t="s">
        <v>1189</v>
      </c>
      <c r="P9" s="26" t="s">
        <v>1190</v>
      </c>
      <c r="Q9" s="26" t="s">
        <v>1191</v>
      </c>
      <c r="R9" s="26" t="s">
        <v>1192</v>
      </c>
      <c r="S9" s="26" t="s">
        <v>1194</v>
      </c>
      <c r="T9" s="26" t="s">
        <v>551</v>
      </c>
      <c r="U9" s="26" t="s">
        <v>552</v>
      </c>
      <c r="V9" s="26" t="s">
        <v>1195</v>
      </c>
      <c r="W9" s="22">
        <v>2.0</v>
      </c>
      <c r="X9" s="22">
        <v>1.0</v>
      </c>
      <c r="Y9" s="22">
        <v>2.0</v>
      </c>
      <c r="Z9" s="22">
        <v>3.0</v>
      </c>
      <c r="AA9" s="22">
        <v>2.0</v>
      </c>
      <c r="AB9" s="22">
        <v>2.0</v>
      </c>
      <c r="AC9" s="22">
        <v>2.0</v>
      </c>
      <c r="AD9" s="22">
        <v>2.0</v>
      </c>
      <c r="AE9" s="28">
        <f t="shared" si="1"/>
        <v>16</v>
      </c>
      <c r="AF9" s="24" t="s">
        <v>303</v>
      </c>
      <c r="AG9" s="24" t="s">
        <v>1196</v>
      </c>
      <c r="AH9" s="29" t="str">
        <f t="shared" si="2"/>
        <v>Complete</v>
      </c>
    </row>
    <row r="10" ht="336.0" customHeight="1">
      <c r="A10" s="26">
        <v>448.0</v>
      </c>
      <c r="B10" s="27" t="str">
        <f>HYPERLINK("https://github.com/pytorch-fdn/ambassador-program/issues/448","https://github.com/pytorch-fdn/ambassador-program/issues/448")</f>
        <v>https://github.com/pytorch-fdn/ambassador-program/issues/448</v>
      </c>
      <c r="C10" s="26" t="s">
        <v>322</v>
      </c>
      <c r="D10" s="26" t="s">
        <v>324</v>
      </c>
      <c r="E10" s="26" t="s">
        <v>326</v>
      </c>
      <c r="F10" s="26" t="s">
        <v>261</v>
      </c>
      <c r="G10" s="26" t="s">
        <v>330</v>
      </c>
      <c r="H10" s="26" t="s">
        <v>103</v>
      </c>
      <c r="I10" s="26" t="s">
        <v>100</v>
      </c>
      <c r="J10" s="26" t="s">
        <v>332</v>
      </c>
      <c r="K10" s="26" t="s">
        <v>100</v>
      </c>
      <c r="L10" s="26" t="s">
        <v>100</v>
      </c>
      <c r="M10" s="26" t="s">
        <v>334</v>
      </c>
      <c r="N10" s="26" t="s">
        <v>335</v>
      </c>
      <c r="O10" s="26" t="s">
        <v>338</v>
      </c>
      <c r="P10" s="26" t="s">
        <v>341</v>
      </c>
      <c r="Q10" s="26" t="s">
        <v>342</v>
      </c>
      <c r="R10" s="26" t="s">
        <v>344</v>
      </c>
      <c r="S10" s="26" t="s">
        <v>346</v>
      </c>
      <c r="T10" s="26" t="s">
        <v>348</v>
      </c>
      <c r="U10" s="26" t="s">
        <v>349</v>
      </c>
      <c r="V10" s="26" t="s">
        <v>351</v>
      </c>
      <c r="W10" s="22">
        <v>5.0</v>
      </c>
      <c r="X10" s="22">
        <v>4.0</v>
      </c>
      <c r="Y10" s="22">
        <v>4.0</v>
      </c>
      <c r="Z10" s="22">
        <v>4.0</v>
      </c>
      <c r="AA10" s="22">
        <v>4.0</v>
      </c>
      <c r="AB10" s="22">
        <v>4.0</v>
      </c>
      <c r="AC10" s="22">
        <v>4.0</v>
      </c>
      <c r="AD10" s="22">
        <v>4.0</v>
      </c>
      <c r="AE10" s="28">
        <f t="shared" si="1"/>
        <v>33</v>
      </c>
      <c r="AF10" s="24" t="s">
        <v>164</v>
      </c>
      <c r="AG10" s="24" t="s">
        <v>1207</v>
      </c>
      <c r="AH10" s="29" t="str">
        <f t="shared" si="2"/>
        <v>Complete</v>
      </c>
    </row>
    <row r="11" ht="288.0" customHeight="1">
      <c r="A11" s="26">
        <v>438.0</v>
      </c>
      <c r="B11" s="27" t="str">
        <f>HYPERLINK("https://github.com/pytorch-fdn/ambassador-program/issues/438","https://github.com/pytorch-fdn/ambassador-program/issues/438")</f>
        <v>https://github.com/pytorch-fdn/ambassador-program/issues/438</v>
      </c>
      <c r="C11" s="26" t="s">
        <v>540</v>
      </c>
      <c r="D11" s="26" t="s">
        <v>542</v>
      </c>
      <c r="E11" s="26" t="s">
        <v>544</v>
      </c>
      <c r="F11" s="26" t="s">
        <v>95</v>
      </c>
      <c r="G11" s="26" t="s">
        <v>548</v>
      </c>
      <c r="H11" s="26" t="s">
        <v>103</v>
      </c>
      <c r="I11" s="26" t="s">
        <v>100</v>
      </c>
      <c r="J11" s="26" t="s">
        <v>553</v>
      </c>
      <c r="K11" s="26" t="s">
        <v>554</v>
      </c>
      <c r="L11" s="26" t="s">
        <v>100</v>
      </c>
      <c r="M11" s="26" t="s">
        <v>555</v>
      </c>
      <c r="N11" s="26" t="s">
        <v>100</v>
      </c>
      <c r="O11" s="26" t="s">
        <v>556</v>
      </c>
      <c r="P11" s="26" t="s">
        <v>558</v>
      </c>
      <c r="Q11" s="26" t="s">
        <v>561</v>
      </c>
      <c r="R11" s="26" t="s">
        <v>562</v>
      </c>
      <c r="S11" s="26" t="s">
        <v>564</v>
      </c>
      <c r="T11" s="26" t="s">
        <v>551</v>
      </c>
      <c r="U11" s="26" t="s">
        <v>565</v>
      </c>
      <c r="V11" s="26" t="s">
        <v>567</v>
      </c>
      <c r="W11" s="22">
        <v>3.0</v>
      </c>
      <c r="X11" s="22">
        <v>4.0</v>
      </c>
      <c r="Y11" s="22">
        <v>5.0</v>
      </c>
      <c r="Z11" s="22">
        <v>5.0</v>
      </c>
      <c r="AA11" s="22">
        <v>3.0</v>
      </c>
      <c r="AB11" s="22">
        <v>4.0</v>
      </c>
      <c r="AC11" s="22">
        <v>3.0</v>
      </c>
      <c r="AD11" s="22">
        <v>3.0</v>
      </c>
      <c r="AE11" s="28">
        <f t="shared" si="1"/>
        <v>30</v>
      </c>
      <c r="AF11" s="24" t="s">
        <v>195</v>
      </c>
      <c r="AG11" s="24" t="s">
        <v>1212</v>
      </c>
      <c r="AH11" s="29" t="str">
        <f t="shared" si="2"/>
        <v>Complete</v>
      </c>
    </row>
    <row r="12" ht="408.75" customHeight="1">
      <c r="A12" s="26">
        <v>434.0</v>
      </c>
      <c r="B12" s="27" t="str">
        <f>HYPERLINK("https://github.com/pytorch-fdn/ambassador-program/issues/434","https://github.com/pytorch-fdn/ambassador-program/issues/434")</f>
        <v>https://github.com/pytorch-fdn/ambassador-program/issues/434</v>
      </c>
      <c r="C12" s="26" t="s">
        <v>428</v>
      </c>
      <c r="D12" s="26" t="s">
        <v>431</v>
      </c>
      <c r="E12" s="26" t="s">
        <v>434</v>
      </c>
      <c r="F12" s="26" t="s">
        <v>261</v>
      </c>
      <c r="G12" s="26" t="s">
        <v>100</v>
      </c>
      <c r="H12" s="26" t="s">
        <v>103</v>
      </c>
      <c r="I12" s="26" t="s">
        <v>100</v>
      </c>
      <c r="J12" s="26" t="s">
        <v>438</v>
      </c>
      <c r="K12" s="26" t="s">
        <v>100</v>
      </c>
      <c r="L12" s="26" t="s">
        <v>100</v>
      </c>
      <c r="M12" s="26" t="s">
        <v>444</v>
      </c>
      <c r="N12" s="26" t="s">
        <v>100</v>
      </c>
      <c r="O12" s="26" t="s">
        <v>446</v>
      </c>
      <c r="P12" s="26" t="s">
        <v>449</v>
      </c>
      <c r="Q12" s="26" t="s">
        <v>454</v>
      </c>
      <c r="R12" s="26" t="s">
        <v>461</v>
      </c>
      <c r="S12" s="26" t="s">
        <v>463</v>
      </c>
      <c r="T12" s="26" t="s">
        <v>115</v>
      </c>
      <c r="U12" s="26" t="s">
        <v>434</v>
      </c>
      <c r="V12" s="26" t="s">
        <v>118</v>
      </c>
      <c r="W12" s="22">
        <v>1.0</v>
      </c>
      <c r="X12" s="22">
        <v>1.0</v>
      </c>
      <c r="Y12" s="22">
        <v>1.0</v>
      </c>
      <c r="Z12" s="22">
        <v>2.0</v>
      </c>
      <c r="AA12" s="22">
        <v>1.0</v>
      </c>
      <c r="AB12" s="22">
        <v>1.0</v>
      </c>
      <c r="AC12" s="22">
        <v>1.0</v>
      </c>
      <c r="AD12" s="22">
        <v>2.0</v>
      </c>
      <c r="AE12" s="28">
        <f t="shared" si="1"/>
        <v>10</v>
      </c>
      <c r="AF12" s="24" t="s">
        <v>124</v>
      </c>
      <c r="AG12" s="24" t="s">
        <v>1214</v>
      </c>
      <c r="AH12" s="29" t="str">
        <f t="shared" si="2"/>
        <v>Complete</v>
      </c>
    </row>
    <row r="13" ht="408.75" customHeight="1">
      <c r="A13" s="26">
        <v>430.0</v>
      </c>
      <c r="B13" s="27" t="str">
        <f>HYPERLINK("https://github.com/pytorch-fdn/ambassador-program/issues/430","https://github.com/pytorch-fdn/ambassador-program/issues/430")</f>
        <v>https://github.com/pytorch-fdn/ambassador-program/issues/430</v>
      </c>
      <c r="C13" s="26" t="s">
        <v>1215</v>
      </c>
      <c r="D13" s="26" t="s">
        <v>1216</v>
      </c>
      <c r="E13" s="26" t="s">
        <v>1217</v>
      </c>
      <c r="F13" s="26" t="s">
        <v>175</v>
      </c>
      <c r="G13" s="26" t="s">
        <v>1218</v>
      </c>
      <c r="H13" s="26" t="s">
        <v>103</v>
      </c>
      <c r="I13" s="26" t="s">
        <v>100</v>
      </c>
      <c r="J13" s="26" t="s">
        <v>1219</v>
      </c>
      <c r="K13" s="26" t="s">
        <v>1220</v>
      </c>
      <c r="L13" s="26" t="s">
        <v>100</v>
      </c>
      <c r="M13" s="26" t="s">
        <v>779</v>
      </c>
      <c r="N13" s="26" t="s">
        <v>100</v>
      </c>
      <c r="O13" s="26" t="s">
        <v>1221</v>
      </c>
      <c r="P13" s="26" t="s">
        <v>1222</v>
      </c>
      <c r="Q13" s="26" t="s">
        <v>1223</v>
      </c>
      <c r="R13" s="26" t="s">
        <v>1224</v>
      </c>
      <c r="S13" s="26" t="s">
        <v>1225</v>
      </c>
      <c r="T13" s="26" t="s">
        <v>115</v>
      </c>
      <c r="U13" s="26" t="s">
        <v>1226</v>
      </c>
      <c r="V13" s="26" t="s">
        <v>1227</v>
      </c>
      <c r="W13" s="22">
        <v>1.0</v>
      </c>
      <c r="X13" s="22">
        <v>2.0</v>
      </c>
      <c r="Y13" s="22">
        <v>3.0</v>
      </c>
      <c r="Z13" s="22">
        <v>2.0</v>
      </c>
      <c r="AA13" s="22">
        <v>2.0</v>
      </c>
      <c r="AB13" s="22">
        <v>3.0</v>
      </c>
      <c r="AC13" s="22">
        <v>2.0</v>
      </c>
      <c r="AD13" s="22">
        <v>2.0</v>
      </c>
      <c r="AE13" s="28">
        <f t="shared" si="1"/>
        <v>17</v>
      </c>
      <c r="AF13" s="24" t="s">
        <v>303</v>
      </c>
      <c r="AG13" s="24" t="s">
        <v>1231</v>
      </c>
      <c r="AH13" s="29" t="str">
        <f t="shared" si="2"/>
        <v>Complete</v>
      </c>
    </row>
    <row r="14" ht="408.75" customHeight="1">
      <c r="A14" s="26">
        <v>427.0</v>
      </c>
      <c r="B14" s="27" t="str">
        <f>HYPERLINK("https://github.com/pytorch-fdn/ambassador-program/issues/427","https://github.com/pytorch-fdn/ambassador-program/issues/427")</f>
        <v>https://github.com/pytorch-fdn/ambassador-program/issues/427</v>
      </c>
      <c r="C14" s="26" t="s">
        <v>607</v>
      </c>
      <c r="D14" s="26" t="s">
        <v>608</v>
      </c>
      <c r="E14" s="26" t="s">
        <v>610</v>
      </c>
      <c r="F14" s="26" t="s">
        <v>261</v>
      </c>
      <c r="G14" s="26" t="s">
        <v>614</v>
      </c>
      <c r="H14" s="26" t="s">
        <v>103</v>
      </c>
      <c r="I14" s="26" t="s">
        <v>100</v>
      </c>
      <c r="J14" s="26" t="s">
        <v>619</v>
      </c>
      <c r="K14" s="26" t="s">
        <v>620</v>
      </c>
      <c r="L14" s="26" t="s">
        <v>100</v>
      </c>
      <c r="M14" s="26" t="s">
        <v>334</v>
      </c>
      <c r="N14" s="26" t="s">
        <v>335</v>
      </c>
      <c r="O14" s="26" t="s">
        <v>621</v>
      </c>
      <c r="P14" s="26" t="s">
        <v>622</v>
      </c>
      <c r="Q14" s="26" t="s">
        <v>623</v>
      </c>
      <c r="R14" s="26" t="s">
        <v>624</v>
      </c>
      <c r="S14" s="26" t="s">
        <v>625</v>
      </c>
      <c r="T14" s="26" t="s">
        <v>115</v>
      </c>
      <c r="U14" s="26" t="s">
        <v>117</v>
      </c>
      <c r="V14" s="26" t="s">
        <v>627</v>
      </c>
      <c r="W14" s="22">
        <v>2.0</v>
      </c>
      <c r="X14" s="22">
        <v>3.0</v>
      </c>
      <c r="Y14" s="22">
        <v>4.0</v>
      </c>
      <c r="Z14" s="22">
        <v>4.0</v>
      </c>
      <c r="AA14" s="22">
        <v>4.0</v>
      </c>
      <c r="AB14" s="22">
        <v>3.0</v>
      </c>
      <c r="AC14" s="22">
        <v>2.0</v>
      </c>
      <c r="AD14" s="22">
        <v>2.0</v>
      </c>
      <c r="AE14" s="28">
        <f t="shared" si="1"/>
        <v>24</v>
      </c>
      <c r="AF14" s="24" t="s">
        <v>195</v>
      </c>
      <c r="AG14" s="24" t="s">
        <v>1246</v>
      </c>
      <c r="AH14" s="29" t="str">
        <f t="shared" si="2"/>
        <v>Complete</v>
      </c>
    </row>
    <row r="15" ht="408.75" customHeight="1">
      <c r="A15" s="26">
        <v>421.0</v>
      </c>
      <c r="B15" s="27" t="str">
        <f>HYPERLINK("https://github.com/pytorch-fdn/ambassador-program/issues/421","https://github.com/pytorch-fdn/ambassador-program/issues/421")</f>
        <v>https://github.com/pytorch-fdn/ambassador-program/issues/421</v>
      </c>
      <c r="C15" s="26" t="s">
        <v>1256</v>
      </c>
      <c r="D15" s="26" t="s">
        <v>1259</v>
      </c>
      <c r="E15" s="26" t="s">
        <v>129</v>
      </c>
      <c r="F15" s="26" t="s">
        <v>99</v>
      </c>
      <c r="G15" s="26" t="s">
        <v>1263</v>
      </c>
      <c r="H15" s="26" t="s">
        <v>103</v>
      </c>
      <c r="I15" s="26" t="s">
        <v>100</v>
      </c>
      <c r="J15" s="26" t="s">
        <v>1267</v>
      </c>
      <c r="K15" s="26" t="s">
        <v>100</v>
      </c>
      <c r="L15" s="26" t="s">
        <v>100</v>
      </c>
      <c r="M15" s="26" t="s">
        <v>108</v>
      </c>
      <c r="N15" s="26" t="s">
        <v>100</v>
      </c>
      <c r="O15" s="26" t="s">
        <v>1271</v>
      </c>
      <c r="P15" s="26" t="s">
        <v>1273</v>
      </c>
      <c r="Q15" s="26" t="s">
        <v>1274</v>
      </c>
      <c r="R15" s="26" t="s">
        <v>1276</v>
      </c>
      <c r="S15" s="26" t="s">
        <v>144</v>
      </c>
      <c r="T15" s="26" t="s">
        <v>115</v>
      </c>
      <c r="U15" s="26" t="s">
        <v>145</v>
      </c>
      <c r="V15" s="26" t="s">
        <v>1281</v>
      </c>
      <c r="W15" s="22">
        <v>1.0</v>
      </c>
      <c r="X15" s="22">
        <v>1.0</v>
      </c>
      <c r="Y15" s="22">
        <v>2.0</v>
      </c>
      <c r="Z15" s="22">
        <v>1.0</v>
      </c>
      <c r="AA15" s="22">
        <v>2.0</v>
      </c>
      <c r="AB15" s="22">
        <v>2.0</v>
      </c>
      <c r="AC15" s="22">
        <v>1.0</v>
      </c>
      <c r="AD15" s="22">
        <v>2.0</v>
      </c>
      <c r="AE15" s="28">
        <f t="shared" si="1"/>
        <v>12</v>
      </c>
      <c r="AF15" s="24" t="s">
        <v>124</v>
      </c>
      <c r="AG15" s="24" t="s">
        <v>1303</v>
      </c>
      <c r="AH15" s="29" t="str">
        <f t="shared" si="2"/>
        <v>Complete</v>
      </c>
    </row>
    <row r="16" ht="264.0" customHeight="1">
      <c r="A16" s="26">
        <v>419.0</v>
      </c>
      <c r="B16" s="27" t="str">
        <f>HYPERLINK("https://github.com/pytorch-fdn/ambassador-program/issues/419","https://github.com/pytorch-fdn/ambassador-program/issues/419")</f>
        <v>https://github.com/pytorch-fdn/ambassador-program/issues/419</v>
      </c>
      <c r="C16" s="26" t="s">
        <v>1318</v>
      </c>
      <c r="D16" s="26" t="s">
        <v>1319</v>
      </c>
      <c r="E16" s="26" t="s">
        <v>1321</v>
      </c>
      <c r="F16" s="26" t="s">
        <v>261</v>
      </c>
      <c r="G16" s="26" t="s">
        <v>1322</v>
      </c>
      <c r="H16" s="26" t="s">
        <v>103</v>
      </c>
      <c r="I16" s="26" t="s">
        <v>100</v>
      </c>
      <c r="J16" s="26" t="s">
        <v>1326</v>
      </c>
      <c r="K16" s="26" t="s">
        <v>100</v>
      </c>
      <c r="L16" s="26" t="s">
        <v>100</v>
      </c>
      <c r="M16" s="26" t="s">
        <v>1328</v>
      </c>
      <c r="N16" s="26" t="s">
        <v>100</v>
      </c>
      <c r="O16" s="26" t="s">
        <v>1282</v>
      </c>
      <c r="P16" s="26" t="s">
        <v>1329</v>
      </c>
      <c r="Q16" s="26" t="s">
        <v>1330</v>
      </c>
      <c r="R16" s="26" t="s">
        <v>1331</v>
      </c>
      <c r="S16" s="26" t="s">
        <v>144</v>
      </c>
      <c r="T16" s="26" t="s">
        <v>115</v>
      </c>
      <c r="U16" s="26" t="s">
        <v>247</v>
      </c>
      <c r="V16" s="26" t="s">
        <v>1336</v>
      </c>
      <c r="W16" s="22">
        <v>3.0</v>
      </c>
      <c r="X16" s="22">
        <v>3.0</v>
      </c>
      <c r="Y16" s="22">
        <v>3.0</v>
      </c>
      <c r="Z16" s="22">
        <v>3.0</v>
      </c>
      <c r="AA16" s="22">
        <v>3.0</v>
      </c>
      <c r="AB16" s="22">
        <v>3.0</v>
      </c>
      <c r="AC16" s="22">
        <v>3.0</v>
      </c>
      <c r="AD16" s="22">
        <v>3.0</v>
      </c>
      <c r="AE16" s="28">
        <f t="shared" si="1"/>
        <v>24</v>
      </c>
      <c r="AF16" s="24" t="s">
        <v>195</v>
      </c>
      <c r="AG16" s="24" t="s">
        <v>1339</v>
      </c>
      <c r="AH16" s="29" t="str">
        <f t="shared" si="2"/>
        <v>Complete</v>
      </c>
    </row>
    <row r="17" ht="324.0" customHeight="1">
      <c r="A17" s="26">
        <v>418.0</v>
      </c>
      <c r="B17" s="27" t="str">
        <f>HYPERLINK("https://github.com/pytorch-fdn/ambassador-program/issues/418","https://github.com/pytorch-fdn/ambassador-program/issues/418")</f>
        <v>https://github.com/pytorch-fdn/ambassador-program/issues/418</v>
      </c>
      <c r="C17" s="26" t="s">
        <v>647</v>
      </c>
      <c r="D17" s="26" t="s">
        <v>650</v>
      </c>
      <c r="E17" s="26" t="s">
        <v>652</v>
      </c>
      <c r="F17" s="26" t="s">
        <v>261</v>
      </c>
      <c r="G17" s="26" t="s">
        <v>656</v>
      </c>
      <c r="H17" s="26" t="s">
        <v>103</v>
      </c>
      <c r="I17" s="26" t="s">
        <v>100</v>
      </c>
      <c r="J17" s="26" t="s">
        <v>662</v>
      </c>
      <c r="K17" s="26" t="s">
        <v>665</v>
      </c>
      <c r="L17" s="26" t="s">
        <v>100</v>
      </c>
      <c r="M17" s="26" t="s">
        <v>667</v>
      </c>
      <c r="N17" s="26" t="s">
        <v>100</v>
      </c>
      <c r="O17" s="26" t="s">
        <v>668</v>
      </c>
      <c r="P17" s="26" t="s">
        <v>670</v>
      </c>
      <c r="Q17" s="26" t="s">
        <v>671</v>
      </c>
      <c r="R17" s="26" t="s">
        <v>674</v>
      </c>
      <c r="S17" s="26" t="s">
        <v>676</v>
      </c>
      <c r="T17" s="26" t="s">
        <v>115</v>
      </c>
      <c r="U17" s="26" t="s">
        <v>420</v>
      </c>
      <c r="V17" s="26" t="s">
        <v>118</v>
      </c>
      <c r="W17" s="22">
        <v>1.0</v>
      </c>
      <c r="X17" s="22">
        <v>2.0</v>
      </c>
      <c r="Y17" s="22">
        <v>3.0</v>
      </c>
      <c r="Z17" s="22">
        <v>2.0</v>
      </c>
      <c r="AA17" s="22">
        <v>2.0</v>
      </c>
      <c r="AB17" s="22">
        <v>2.0</v>
      </c>
      <c r="AC17" s="22">
        <v>2.0</v>
      </c>
      <c r="AD17" s="22">
        <v>1.0</v>
      </c>
      <c r="AE17" s="28">
        <f t="shared" si="1"/>
        <v>15</v>
      </c>
      <c r="AF17" s="24" t="s">
        <v>124</v>
      </c>
      <c r="AG17" s="24" t="s">
        <v>1367</v>
      </c>
      <c r="AH17" s="29" t="str">
        <f t="shared" si="2"/>
        <v>Complete</v>
      </c>
    </row>
    <row r="18" ht="144.0" customHeight="1">
      <c r="A18" s="26">
        <v>408.0</v>
      </c>
      <c r="B18" s="27" t="str">
        <f>HYPERLINK("https://github.com/pytorch-fdn/ambassador-program/issues/408","https://github.com/pytorch-fdn/ambassador-program/issues/408")</f>
        <v>https://github.com/pytorch-fdn/ambassador-program/issues/408</v>
      </c>
      <c r="C18" s="26" t="s">
        <v>1275</v>
      </c>
      <c r="D18" s="26" t="s">
        <v>1277</v>
      </c>
      <c r="E18" s="26" t="s">
        <v>1278</v>
      </c>
      <c r="F18" s="26" t="s">
        <v>95</v>
      </c>
      <c r="G18" s="26" t="s">
        <v>1279</v>
      </c>
      <c r="H18" s="26" t="s">
        <v>103</v>
      </c>
      <c r="I18" s="26" t="s">
        <v>100</v>
      </c>
      <c r="J18" s="26" t="s">
        <v>1280</v>
      </c>
      <c r="K18" s="26" t="s">
        <v>100</v>
      </c>
      <c r="L18" s="26" t="s">
        <v>100</v>
      </c>
      <c r="M18" s="26" t="s">
        <v>162</v>
      </c>
      <c r="N18" s="26" t="s">
        <v>100</v>
      </c>
      <c r="O18" s="26" t="s">
        <v>1282</v>
      </c>
      <c r="P18" s="26" t="s">
        <v>1283</v>
      </c>
      <c r="Q18" s="26" t="s">
        <v>1285</v>
      </c>
      <c r="R18" s="26" t="s">
        <v>1286</v>
      </c>
      <c r="S18" s="26" t="s">
        <v>902</v>
      </c>
      <c r="T18" s="26" t="s">
        <v>158</v>
      </c>
      <c r="U18" s="26" t="s">
        <v>160</v>
      </c>
      <c r="V18" s="26" t="s">
        <v>118</v>
      </c>
      <c r="W18" s="22">
        <v>2.0</v>
      </c>
      <c r="X18" s="22">
        <v>1.0</v>
      </c>
      <c r="Y18" s="22">
        <v>3.0</v>
      </c>
      <c r="Z18" s="22">
        <v>1.0</v>
      </c>
      <c r="AA18" s="22">
        <v>2.0</v>
      </c>
      <c r="AB18" s="22">
        <v>2.0</v>
      </c>
      <c r="AC18" s="22">
        <v>2.0</v>
      </c>
      <c r="AD18" s="22">
        <v>2.0</v>
      </c>
      <c r="AE18" s="28">
        <f t="shared" si="1"/>
        <v>15</v>
      </c>
      <c r="AF18" s="24" t="s">
        <v>124</v>
      </c>
      <c r="AG18" s="24" t="s">
        <v>1380</v>
      </c>
      <c r="AH18" s="29" t="str">
        <f t="shared" si="2"/>
        <v>Complete</v>
      </c>
    </row>
    <row r="19" ht="126.0" customHeight="1">
      <c r="A19" s="26">
        <v>404.0</v>
      </c>
      <c r="B19" s="27" t="str">
        <f>HYPERLINK("https://github.com/pytorch-fdn/ambassador-program/issues/404","https://github.com/pytorch-fdn/ambassador-program/issues/404")</f>
        <v>https://github.com/pytorch-fdn/ambassador-program/issues/404</v>
      </c>
      <c r="C19" s="26" t="s">
        <v>711</v>
      </c>
      <c r="D19" s="26" t="s">
        <v>712</v>
      </c>
      <c r="E19" s="26" t="s">
        <v>713</v>
      </c>
      <c r="F19" s="26" t="s">
        <v>99</v>
      </c>
      <c r="G19" s="26" t="s">
        <v>100</v>
      </c>
      <c r="H19" s="26" t="s">
        <v>103</v>
      </c>
      <c r="I19" s="26" t="s">
        <v>100</v>
      </c>
      <c r="J19" s="26" t="s">
        <v>100</v>
      </c>
      <c r="K19" s="26" t="s">
        <v>714</v>
      </c>
      <c r="L19" s="26" t="s">
        <v>100</v>
      </c>
      <c r="M19" s="26" t="s">
        <v>715</v>
      </c>
      <c r="N19" s="26" t="s">
        <v>100</v>
      </c>
      <c r="O19" s="26" t="s">
        <v>716</v>
      </c>
      <c r="P19" s="26" t="s">
        <v>717</v>
      </c>
      <c r="Q19" s="26" t="s">
        <v>719</v>
      </c>
      <c r="R19" s="26" t="s">
        <v>720</v>
      </c>
      <c r="S19" s="26" t="s">
        <v>722</v>
      </c>
      <c r="T19" s="26" t="s">
        <v>158</v>
      </c>
      <c r="U19" s="26" t="s">
        <v>724</v>
      </c>
      <c r="V19" s="26" t="s">
        <v>118</v>
      </c>
      <c r="W19" s="22">
        <v>1.0</v>
      </c>
      <c r="X19" s="22">
        <v>1.0</v>
      </c>
      <c r="Y19" s="22">
        <v>1.0</v>
      </c>
      <c r="Z19" s="22">
        <v>1.0</v>
      </c>
      <c r="AA19" s="22">
        <v>1.0</v>
      </c>
      <c r="AB19" s="22">
        <v>2.0</v>
      </c>
      <c r="AC19" s="22">
        <v>1.0</v>
      </c>
      <c r="AD19" s="22">
        <v>1.0</v>
      </c>
      <c r="AE19" s="28">
        <f t="shared" si="1"/>
        <v>9</v>
      </c>
      <c r="AF19" s="24" t="s">
        <v>124</v>
      </c>
      <c r="AG19" s="24" t="s">
        <v>1401</v>
      </c>
      <c r="AH19" s="29" t="str">
        <f t="shared" si="2"/>
        <v>Complete</v>
      </c>
    </row>
    <row r="20" ht="396.0" customHeight="1">
      <c r="A20" s="26">
        <v>403.0</v>
      </c>
      <c r="B20" s="27" t="str">
        <f>HYPERLINK("https://github.com/pytorch-fdn/ambassador-program/issues/403","https://github.com/pytorch-fdn/ambassador-program/issues/403")</f>
        <v>https://github.com/pytorch-fdn/ambassador-program/issues/403</v>
      </c>
      <c r="C20" s="26" t="s">
        <v>732</v>
      </c>
      <c r="D20" s="26" t="s">
        <v>733</v>
      </c>
      <c r="E20" s="26" t="s">
        <v>734</v>
      </c>
      <c r="F20" s="26" t="s">
        <v>261</v>
      </c>
      <c r="G20" s="26" t="s">
        <v>740</v>
      </c>
      <c r="H20" s="26" t="s">
        <v>103</v>
      </c>
      <c r="I20" s="26" t="s">
        <v>100</v>
      </c>
      <c r="J20" s="26" t="s">
        <v>744</v>
      </c>
      <c r="K20" s="26" t="s">
        <v>746</v>
      </c>
      <c r="L20" s="26" t="s">
        <v>100</v>
      </c>
      <c r="M20" s="26" t="s">
        <v>730</v>
      </c>
      <c r="N20" s="26" t="s">
        <v>100</v>
      </c>
      <c r="O20" s="26" t="s">
        <v>279</v>
      </c>
      <c r="P20" s="26" t="s">
        <v>747</v>
      </c>
      <c r="Q20" s="26" t="s">
        <v>749</v>
      </c>
      <c r="R20" s="26" t="s">
        <v>750</v>
      </c>
      <c r="S20" s="26" t="s">
        <v>592</v>
      </c>
      <c r="T20" s="26" t="s">
        <v>158</v>
      </c>
      <c r="U20" s="26" t="s">
        <v>724</v>
      </c>
      <c r="V20" s="26" t="s">
        <v>118</v>
      </c>
      <c r="W20" s="22">
        <v>1.0</v>
      </c>
      <c r="X20" s="22">
        <v>1.0</v>
      </c>
      <c r="Y20" s="22">
        <v>2.0</v>
      </c>
      <c r="Z20" s="22">
        <v>3.0</v>
      </c>
      <c r="AA20" s="22">
        <v>2.0</v>
      </c>
      <c r="AB20" s="22">
        <v>2.0</v>
      </c>
      <c r="AC20" s="22">
        <v>1.0</v>
      </c>
      <c r="AD20" s="22">
        <v>1.0</v>
      </c>
      <c r="AE20" s="28">
        <f t="shared" si="1"/>
        <v>13</v>
      </c>
      <c r="AF20" s="24" t="s">
        <v>124</v>
      </c>
      <c r="AG20" s="24" t="s">
        <v>1414</v>
      </c>
      <c r="AH20" s="29" t="str">
        <f t="shared" si="2"/>
        <v>Complete</v>
      </c>
    </row>
    <row r="21" ht="408.75" customHeight="1">
      <c r="A21" s="26">
        <v>391.0</v>
      </c>
      <c r="B21" s="27" t="str">
        <f>HYPERLINK("https://github.com/pytorch-fdn/ambassador-program/issues/391","https://github.com/pytorch-fdn/ambassador-program/issues/391")</f>
        <v>https://github.com/pytorch-fdn/ambassador-program/issues/391</v>
      </c>
      <c r="C21" s="26" t="s">
        <v>1251</v>
      </c>
      <c r="D21" s="26" t="s">
        <v>1253</v>
      </c>
      <c r="E21" s="26" t="s">
        <v>1254</v>
      </c>
      <c r="F21" s="26" t="s">
        <v>261</v>
      </c>
      <c r="G21" s="26" t="s">
        <v>1258</v>
      </c>
      <c r="H21" s="26" t="s">
        <v>103</v>
      </c>
      <c r="I21" s="26" t="s">
        <v>100</v>
      </c>
      <c r="J21" s="26" t="s">
        <v>1262</v>
      </c>
      <c r="K21" s="26" t="s">
        <v>100</v>
      </c>
      <c r="L21" s="26" t="s">
        <v>100</v>
      </c>
      <c r="M21" s="26" t="s">
        <v>108</v>
      </c>
      <c r="N21" s="26" t="s">
        <v>100</v>
      </c>
      <c r="O21" s="26" t="s">
        <v>1264</v>
      </c>
      <c r="P21" s="26" t="s">
        <v>1265</v>
      </c>
      <c r="Q21" s="26" t="s">
        <v>1266</v>
      </c>
      <c r="R21" s="26" t="s">
        <v>1268</v>
      </c>
      <c r="S21" s="26" t="s">
        <v>1270</v>
      </c>
      <c r="T21" s="26" t="s">
        <v>115</v>
      </c>
      <c r="U21" s="26" t="s">
        <v>145</v>
      </c>
      <c r="V21" s="26" t="s">
        <v>118</v>
      </c>
      <c r="W21" s="22">
        <v>1.0</v>
      </c>
      <c r="X21" s="22">
        <v>1.0</v>
      </c>
      <c r="Y21" s="22">
        <v>3.0</v>
      </c>
      <c r="Z21" s="22">
        <v>2.0</v>
      </c>
      <c r="AA21" s="22">
        <v>2.0</v>
      </c>
      <c r="AB21" s="22">
        <v>2.0</v>
      </c>
      <c r="AC21" s="22">
        <v>1.0</v>
      </c>
      <c r="AD21" s="22">
        <v>2.0</v>
      </c>
      <c r="AE21" s="28">
        <f t="shared" si="1"/>
        <v>14</v>
      </c>
      <c r="AF21" s="24" t="s">
        <v>124</v>
      </c>
      <c r="AG21" s="24" t="s">
        <v>1441</v>
      </c>
      <c r="AH21" s="29" t="str">
        <f t="shared" si="2"/>
        <v>Complete</v>
      </c>
    </row>
    <row r="22" ht="408.75" customHeight="1">
      <c r="A22" s="26">
        <v>379.0</v>
      </c>
      <c r="B22" s="27" t="str">
        <f>HYPERLINK("https://github.com/pytorch-fdn/ambassador-program/issues/379","https://github.com/pytorch-fdn/ambassador-program/issues/379")</f>
        <v>https://github.com/pytorch-fdn/ambassador-program/issues/379</v>
      </c>
      <c r="C22" s="26" t="s">
        <v>1332</v>
      </c>
      <c r="D22" s="26" t="s">
        <v>1334</v>
      </c>
      <c r="E22" s="26" t="s">
        <v>1335</v>
      </c>
      <c r="F22" s="26" t="s">
        <v>261</v>
      </c>
      <c r="G22" s="26" t="s">
        <v>1337</v>
      </c>
      <c r="H22" s="26" t="s">
        <v>103</v>
      </c>
      <c r="I22" s="26" t="s">
        <v>100</v>
      </c>
      <c r="J22" s="26" t="s">
        <v>1338</v>
      </c>
      <c r="K22" s="26" t="s">
        <v>100</v>
      </c>
      <c r="L22" s="26" t="s">
        <v>100</v>
      </c>
      <c r="M22" s="26" t="s">
        <v>391</v>
      </c>
      <c r="N22" s="26" t="s">
        <v>100</v>
      </c>
      <c r="O22" s="26" t="s">
        <v>279</v>
      </c>
      <c r="P22" s="26" t="s">
        <v>1340</v>
      </c>
      <c r="Q22" s="26" t="s">
        <v>1341</v>
      </c>
      <c r="R22" s="26" t="s">
        <v>1342</v>
      </c>
      <c r="S22" s="26" t="s">
        <v>169</v>
      </c>
      <c r="T22" s="26" t="s">
        <v>115</v>
      </c>
      <c r="U22" s="26" t="s">
        <v>145</v>
      </c>
      <c r="V22" s="26" t="s">
        <v>1344</v>
      </c>
      <c r="W22" s="22">
        <v>4.0</v>
      </c>
      <c r="X22" s="22">
        <v>4.0</v>
      </c>
      <c r="Y22" s="22">
        <v>4.0</v>
      </c>
      <c r="Z22" s="22">
        <v>3.0</v>
      </c>
      <c r="AA22" s="22">
        <v>4.0</v>
      </c>
      <c r="AB22" s="22">
        <v>4.0</v>
      </c>
      <c r="AC22" s="22">
        <v>4.0</v>
      </c>
      <c r="AD22" s="22">
        <v>3.0</v>
      </c>
      <c r="AE22" s="28">
        <f t="shared" si="1"/>
        <v>30</v>
      </c>
      <c r="AF22" s="24" t="s">
        <v>195</v>
      </c>
      <c r="AG22" s="24" t="s">
        <v>1487</v>
      </c>
      <c r="AH22" s="29" t="str">
        <f t="shared" si="2"/>
        <v>Complete</v>
      </c>
    </row>
    <row r="23" ht="408.0" customHeight="1">
      <c r="A23" s="26">
        <v>376.0</v>
      </c>
      <c r="B23" s="27" t="str">
        <f>HYPERLINK("https://github.com/pytorch-fdn/ambassador-program/issues/376","https://github.com/pytorch-fdn/ambassador-program/issues/376")</f>
        <v>https://github.com/pytorch-fdn/ambassador-program/issues/376</v>
      </c>
      <c r="C23" s="26" t="s">
        <v>1497</v>
      </c>
      <c r="D23" s="26" t="s">
        <v>1498</v>
      </c>
      <c r="E23" s="26" t="s">
        <v>1499</v>
      </c>
      <c r="F23" s="26" t="s">
        <v>99</v>
      </c>
      <c r="G23" s="26" t="s">
        <v>1500</v>
      </c>
      <c r="H23" s="26" t="s">
        <v>103</v>
      </c>
      <c r="I23" s="26" t="s">
        <v>100</v>
      </c>
      <c r="J23" s="26" t="s">
        <v>1501</v>
      </c>
      <c r="K23" s="26" t="s">
        <v>100</v>
      </c>
      <c r="L23" s="26" t="s">
        <v>100</v>
      </c>
      <c r="M23" s="26" t="s">
        <v>108</v>
      </c>
      <c r="N23" s="26" t="s">
        <v>100</v>
      </c>
      <c r="O23" s="26" t="s">
        <v>134</v>
      </c>
      <c r="P23" s="26" t="s">
        <v>1507</v>
      </c>
      <c r="Q23" s="26" t="s">
        <v>1512</v>
      </c>
      <c r="R23" s="26" t="s">
        <v>1514</v>
      </c>
      <c r="S23" s="26" t="s">
        <v>1515</v>
      </c>
      <c r="T23" s="26" t="s">
        <v>115</v>
      </c>
      <c r="U23" s="26" t="s">
        <v>145</v>
      </c>
      <c r="V23" s="26" t="s">
        <v>118</v>
      </c>
      <c r="W23" s="22">
        <v>1.0</v>
      </c>
      <c r="X23" s="22">
        <v>1.0</v>
      </c>
      <c r="Y23" s="22">
        <v>2.0</v>
      </c>
      <c r="Z23" s="22">
        <v>2.0</v>
      </c>
      <c r="AA23" s="22">
        <v>2.0</v>
      </c>
      <c r="AB23" s="22">
        <v>2.0</v>
      </c>
      <c r="AC23" s="22">
        <v>2.0</v>
      </c>
      <c r="AD23" s="22">
        <v>1.0</v>
      </c>
      <c r="AE23" s="28">
        <f t="shared" si="1"/>
        <v>13</v>
      </c>
      <c r="AF23" s="24" t="s">
        <v>124</v>
      </c>
      <c r="AG23" s="24" t="s">
        <v>1521</v>
      </c>
      <c r="AH23" s="29" t="str">
        <f t="shared" si="2"/>
        <v>Complete</v>
      </c>
    </row>
    <row r="24" ht="408.75" customHeight="1">
      <c r="A24" s="26">
        <v>349.0</v>
      </c>
      <c r="B24" s="27" t="str">
        <f>HYPERLINK("https://github.com/pytorch-fdn/ambassador-program/issues/349","https://github.com/pytorch-fdn/ambassador-program/issues/349")</f>
        <v>https://github.com/pytorch-fdn/ambassador-program/issues/349</v>
      </c>
      <c r="C24" s="26" t="s">
        <v>808</v>
      </c>
      <c r="D24" s="26" t="s">
        <v>812</v>
      </c>
      <c r="E24" s="26" t="s">
        <v>813</v>
      </c>
      <c r="F24" s="26" t="s">
        <v>95</v>
      </c>
      <c r="G24" s="26" t="s">
        <v>816</v>
      </c>
      <c r="H24" s="26" t="s">
        <v>98</v>
      </c>
      <c r="I24" s="26" t="s">
        <v>100</v>
      </c>
      <c r="J24" s="26" t="s">
        <v>819</v>
      </c>
      <c r="K24" s="26" t="s">
        <v>100</v>
      </c>
      <c r="L24" s="26" t="s">
        <v>822</v>
      </c>
      <c r="M24" s="26" t="s">
        <v>824</v>
      </c>
      <c r="N24" s="26" t="s">
        <v>826</v>
      </c>
      <c r="O24" s="26" t="s">
        <v>829</v>
      </c>
      <c r="P24" s="26" t="s">
        <v>833</v>
      </c>
      <c r="Q24" s="26" t="s">
        <v>837</v>
      </c>
      <c r="R24" s="26" t="s">
        <v>843</v>
      </c>
      <c r="S24" s="26" t="s">
        <v>144</v>
      </c>
      <c r="T24" s="26" t="s">
        <v>121</v>
      </c>
      <c r="U24" s="26" t="s">
        <v>255</v>
      </c>
      <c r="V24" s="26" t="s">
        <v>857</v>
      </c>
      <c r="W24" s="22">
        <v>5.0</v>
      </c>
      <c r="X24" s="22">
        <v>4.0</v>
      </c>
      <c r="Y24" s="22">
        <v>4.0</v>
      </c>
      <c r="Z24" s="22">
        <v>4.0</v>
      </c>
      <c r="AA24" s="22">
        <v>5.0</v>
      </c>
      <c r="AB24" s="22">
        <v>4.0</v>
      </c>
      <c r="AC24" s="22">
        <v>4.0</v>
      </c>
      <c r="AD24" s="22">
        <v>4.0</v>
      </c>
      <c r="AE24" s="28">
        <f t="shared" si="1"/>
        <v>34</v>
      </c>
      <c r="AF24" s="24" t="s">
        <v>164</v>
      </c>
      <c r="AG24" s="24" t="s">
        <v>1537</v>
      </c>
      <c r="AH24" s="29" t="str">
        <f t="shared" si="2"/>
        <v>Complete</v>
      </c>
    </row>
    <row r="25" ht="336.0" customHeight="1">
      <c r="A25" s="26">
        <v>343.0</v>
      </c>
      <c r="B25" s="27" t="str">
        <f>HYPERLINK("https://github.com/pytorch-fdn/ambassador-program/issues/343","https://github.com/pytorch-fdn/ambassador-program/issues/343")</f>
        <v>https://github.com/pytorch-fdn/ambassador-program/issues/343</v>
      </c>
      <c r="C25" s="26" t="s">
        <v>1538</v>
      </c>
      <c r="D25" s="26" t="s">
        <v>1539</v>
      </c>
      <c r="E25" s="26" t="s">
        <v>1422</v>
      </c>
      <c r="F25" s="26" t="s">
        <v>175</v>
      </c>
      <c r="G25" s="26" t="s">
        <v>1540</v>
      </c>
      <c r="H25" s="26" t="s">
        <v>103</v>
      </c>
      <c r="I25" s="26" t="s">
        <v>100</v>
      </c>
      <c r="J25" s="26" t="s">
        <v>1542</v>
      </c>
      <c r="K25" s="26" t="s">
        <v>100</v>
      </c>
      <c r="L25" s="26" t="s">
        <v>100</v>
      </c>
      <c r="M25" s="26" t="s">
        <v>162</v>
      </c>
      <c r="N25" s="26" t="s">
        <v>100</v>
      </c>
      <c r="O25" s="26" t="s">
        <v>621</v>
      </c>
      <c r="P25" s="26" t="s">
        <v>1543</v>
      </c>
      <c r="Q25" s="26" t="s">
        <v>1544</v>
      </c>
      <c r="R25" s="26" t="s">
        <v>1545</v>
      </c>
      <c r="S25" s="26" t="s">
        <v>777</v>
      </c>
      <c r="T25" s="26" t="s">
        <v>115</v>
      </c>
      <c r="U25" s="26" t="s">
        <v>145</v>
      </c>
      <c r="V25" s="26" t="s">
        <v>1547</v>
      </c>
      <c r="W25" s="22">
        <v>3.0</v>
      </c>
      <c r="X25" s="22">
        <v>2.0</v>
      </c>
      <c r="Y25" s="22">
        <v>2.0</v>
      </c>
      <c r="Z25" s="22">
        <v>3.0</v>
      </c>
      <c r="AA25" s="22">
        <v>3.0</v>
      </c>
      <c r="AB25" s="22">
        <v>2.0</v>
      </c>
      <c r="AC25" s="22">
        <v>2.0</v>
      </c>
      <c r="AD25" s="22">
        <v>2.0</v>
      </c>
      <c r="AE25" s="28">
        <f t="shared" si="1"/>
        <v>19</v>
      </c>
      <c r="AF25" s="24" t="s">
        <v>303</v>
      </c>
      <c r="AG25" s="24" t="s">
        <v>1548</v>
      </c>
      <c r="AH25" s="29" t="str">
        <f t="shared" si="2"/>
        <v>Complete</v>
      </c>
    </row>
    <row r="26" ht="240.0" customHeight="1">
      <c r="A26" s="26">
        <v>340.0</v>
      </c>
      <c r="B26" s="27" t="str">
        <f>HYPERLINK("https://github.com/pytorch-fdn/ambassador-program/issues/340","https://github.com/pytorch-fdn/ambassador-program/issues/340")</f>
        <v>https://github.com/pytorch-fdn/ambassador-program/issues/340</v>
      </c>
      <c r="C26" s="26" t="s">
        <v>1549</v>
      </c>
      <c r="D26" s="26" t="s">
        <v>1550</v>
      </c>
      <c r="E26" s="26" t="s">
        <v>1551</v>
      </c>
      <c r="F26" s="26" t="s">
        <v>95</v>
      </c>
      <c r="G26" s="26" t="s">
        <v>1552</v>
      </c>
      <c r="H26" s="26" t="s">
        <v>103</v>
      </c>
      <c r="I26" s="26" t="s">
        <v>100</v>
      </c>
      <c r="J26" s="26" t="s">
        <v>1553</v>
      </c>
      <c r="K26" s="26" t="s">
        <v>1554</v>
      </c>
      <c r="L26" s="26" t="s">
        <v>100</v>
      </c>
      <c r="M26" s="26" t="s">
        <v>642</v>
      </c>
      <c r="N26" s="26" t="s">
        <v>100</v>
      </c>
      <c r="O26" s="26" t="s">
        <v>621</v>
      </c>
      <c r="P26" s="26" t="s">
        <v>1555</v>
      </c>
      <c r="Q26" s="26" t="s">
        <v>1556</v>
      </c>
      <c r="R26" s="26" t="s">
        <v>1558</v>
      </c>
      <c r="S26" s="26" t="s">
        <v>777</v>
      </c>
      <c r="T26" s="26" t="s">
        <v>115</v>
      </c>
      <c r="U26" s="26" t="s">
        <v>866</v>
      </c>
      <c r="V26" s="26" t="s">
        <v>118</v>
      </c>
      <c r="W26" s="22">
        <v>4.0</v>
      </c>
      <c r="X26" s="22">
        <v>4.0</v>
      </c>
      <c r="Y26" s="22">
        <v>4.0</v>
      </c>
      <c r="Z26" s="22">
        <v>3.0</v>
      </c>
      <c r="AA26" s="22">
        <v>3.0</v>
      </c>
      <c r="AB26" s="22">
        <v>4.0</v>
      </c>
      <c r="AC26" s="22">
        <v>3.0</v>
      </c>
      <c r="AD26" s="22">
        <v>4.0</v>
      </c>
      <c r="AE26" s="28">
        <f t="shared" si="1"/>
        <v>29</v>
      </c>
      <c r="AF26" s="24" t="s">
        <v>195</v>
      </c>
      <c r="AG26" s="24" t="s">
        <v>1559</v>
      </c>
      <c r="AH26" s="29" t="str">
        <f t="shared" si="2"/>
        <v>Complete</v>
      </c>
    </row>
    <row r="27" ht="204.0" customHeight="1">
      <c r="A27" s="26">
        <v>336.0</v>
      </c>
      <c r="B27" s="27" t="str">
        <f>HYPERLINK("https://github.com/pytorch-fdn/ambassador-program/issues/336","https://github.com/pytorch-fdn/ambassador-program/issues/336")</f>
        <v>https://github.com/pytorch-fdn/ambassador-program/issues/336</v>
      </c>
      <c r="C27" s="26" t="s">
        <v>1560</v>
      </c>
      <c r="D27" s="26" t="s">
        <v>1561</v>
      </c>
      <c r="E27" s="26" t="s">
        <v>1562</v>
      </c>
      <c r="F27" s="26" t="s">
        <v>95</v>
      </c>
      <c r="G27" s="26" t="s">
        <v>1563</v>
      </c>
      <c r="H27" s="26" t="s">
        <v>103</v>
      </c>
      <c r="I27" s="26" t="s">
        <v>1564</v>
      </c>
      <c r="J27" s="26" t="s">
        <v>1565</v>
      </c>
      <c r="K27" s="26" t="s">
        <v>100</v>
      </c>
      <c r="L27" s="26" t="s">
        <v>100</v>
      </c>
      <c r="M27" s="26" t="s">
        <v>108</v>
      </c>
      <c r="N27" s="26" t="s">
        <v>100</v>
      </c>
      <c r="O27" s="26" t="s">
        <v>178</v>
      </c>
      <c r="P27" s="26" t="s">
        <v>1566</v>
      </c>
      <c r="Q27" s="26" t="s">
        <v>1567</v>
      </c>
      <c r="R27" s="26" t="s">
        <v>1568</v>
      </c>
      <c r="S27" s="26" t="s">
        <v>592</v>
      </c>
      <c r="T27" s="26" t="s">
        <v>158</v>
      </c>
      <c r="U27" s="26" t="s">
        <v>160</v>
      </c>
      <c r="V27" s="26" t="s">
        <v>118</v>
      </c>
      <c r="W27" s="22">
        <v>3.0</v>
      </c>
      <c r="X27" s="22">
        <v>3.0</v>
      </c>
      <c r="Y27" s="22">
        <v>4.0</v>
      </c>
      <c r="Z27" s="22">
        <v>4.0</v>
      </c>
      <c r="AA27" s="22">
        <v>2.0</v>
      </c>
      <c r="AB27" s="22">
        <v>4.0</v>
      </c>
      <c r="AC27" s="22">
        <v>3.0</v>
      </c>
      <c r="AD27" s="22">
        <v>3.0</v>
      </c>
      <c r="AE27" s="28">
        <f t="shared" si="1"/>
        <v>26</v>
      </c>
      <c r="AF27" s="24" t="s">
        <v>195</v>
      </c>
      <c r="AG27" s="24" t="s">
        <v>1570</v>
      </c>
      <c r="AH27" s="29" t="str">
        <f t="shared" si="2"/>
        <v>Complete</v>
      </c>
    </row>
    <row r="28" ht="408.75" customHeight="1">
      <c r="A28" s="26">
        <v>334.0</v>
      </c>
      <c r="B28" s="27" t="str">
        <f>HYPERLINK("https://github.com/pytorch-fdn/ambassador-program/issues/334","https://github.com/pytorch-fdn/ambassador-program/issues/334")</f>
        <v>https://github.com/pytorch-fdn/ambassador-program/issues/334</v>
      </c>
      <c r="C28" s="26" t="s">
        <v>998</v>
      </c>
      <c r="D28" s="26" t="s">
        <v>999</v>
      </c>
      <c r="E28" s="26" t="s">
        <v>1000</v>
      </c>
      <c r="F28" s="26" t="s">
        <v>261</v>
      </c>
      <c r="G28" s="26" t="s">
        <v>1001</v>
      </c>
      <c r="H28" s="26" t="s">
        <v>103</v>
      </c>
      <c r="I28" s="26" t="s">
        <v>1002</v>
      </c>
      <c r="J28" s="26" t="s">
        <v>1003</v>
      </c>
      <c r="K28" s="26" t="s">
        <v>1004</v>
      </c>
      <c r="L28" s="26" t="s">
        <v>100</v>
      </c>
      <c r="M28" s="26" t="s">
        <v>1005</v>
      </c>
      <c r="N28" s="26" t="s">
        <v>100</v>
      </c>
      <c r="O28" s="26" t="s">
        <v>279</v>
      </c>
      <c r="P28" s="26" t="s">
        <v>1006</v>
      </c>
      <c r="Q28" s="26" t="s">
        <v>1008</v>
      </c>
      <c r="R28" s="26" t="s">
        <v>1010</v>
      </c>
      <c r="S28" s="26" t="s">
        <v>144</v>
      </c>
      <c r="T28" s="26" t="s">
        <v>115</v>
      </c>
      <c r="U28" s="26" t="s">
        <v>145</v>
      </c>
      <c r="V28" s="26" t="s">
        <v>118</v>
      </c>
      <c r="W28" s="22">
        <v>2.0</v>
      </c>
      <c r="X28" s="22">
        <v>2.0</v>
      </c>
      <c r="Y28" s="22">
        <v>3.0</v>
      </c>
      <c r="Z28" s="22">
        <v>3.0</v>
      </c>
      <c r="AA28" s="22">
        <v>2.0</v>
      </c>
      <c r="AB28" s="22">
        <v>3.0</v>
      </c>
      <c r="AC28" s="22">
        <v>3.0</v>
      </c>
      <c r="AD28" s="22">
        <v>2.0</v>
      </c>
      <c r="AE28" s="28">
        <f t="shared" si="1"/>
        <v>20</v>
      </c>
      <c r="AF28" s="24" t="s">
        <v>303</v>
      </c>
      <c r="AG28" s="24" t="s">
        <v>1571</v>
      </c>
      <c r="AH28" s="29" t="str">
        <f t="shared" si="2"/>
        <v>Complete</v>
      </c>
    </row>
    <row r="29" ht="408.75" customHeight="1">
      <c r="A29" s="32">
        <v>325.0</v>
      </c>
      <c r="B29" s="33" t="str">
        <f>HYPERLINK("https://github.com/pytorch-fdn/ambassador-program/issues/325","https://github.com/pytorch-fdn/ambassador-program/issues/325")</f>
        <v>https://github.com/pytorch-fdn/ambassador-program/issues/325</v>
      </c>
      <c r="C29" s="32" t="s">
        <v>1573</v>
      </c>
      <c r="D29" s="32" t="s">
        <v>1574</v>
      </c>
      <c r="E29" s="32" t="s">
        <v>1576</v>
      </c>
      <c r="F29" s="32" t="s">
        <v>261</v>
      </c>
      <c r="G29" s="32" t="s">
        <v>1578</v>
      </c>
      <c r="H29" s="32" t="s">
        <v>98</v>
      </c>
      <c r="I29" s="32" t="s">
        <v>100</v>
      </c>
      <c r="J29" s="32" t="s">
        <v>1580</v>
      </c>
      <c r="K29" s="32" t="s">
        <v>1581</v>
      </c>
      <c r="L29" s="32" t="s">
        <v>1582</v>
      </c>
      <c r="M29" s="32" t="s">
        <v>273</v>
      </c>
      <c r="N29" s="32" t="s">
        <v>100</v>
      </c>
      <c r="O29" s="32" t="s">
        <v>134</v>
      </c>
      <c r="P29" s="32" t="s">
        <v>1584</v>
      </c>
      <c r="Q29" s="32" t="s">
        <v>1587</v>
      </c>
      <c r="R29" s="32" t="s">
        <v>1588</v>
      </c>
      <c r="S29" s="32" t="s">
        <v>144</v>
      </c>
      <c r="T29" s="32" t="s">
        <v>121</v>
      </c>
      <c r="U29" s="32" t="s">
        <v>255</v>
      </c>
      <c r="V29" s="32" t="s">
        <v>1591</v>
      </c>
      <c r="W29" s="22">
        <v>2.0</v>
      </c>
      <c r="X29" s="22">
        <v>2.0</v>
      </c>
      <c r="Y29" s="22">
        <v>3.0</v>
      </c>
      <c r="Z29" s="22">
        <v>3.0</v>
      </c>
      <c r="AA29" s="22">
        <v>3.0</v>
      </c>
      <c r="AB29" s="22">
        <v>3.0</v>
      </c>
      <c r="AC29" s="22">
        <v>3.0</v>
      </c>
      <c r="AD29" s="22">
        <v>3.0</v>
      </c>
      <c r="AE29" s="34">
        <f t="shared" si="1"/>
        <v>22</v>
      </c>
      <c r="AF29" s="24" t="s">
        <v>303</v>
      </c>
      <c r="AG29" s="24" t="s">
        <v>1594</v>
      </c>
      <c r="AH29" s="35" t="str">
        <f t="shared" si="2"/>
        <v>Complete</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1127</v>
      </c>
    </row>
    <row r="2" ht="27.75" customHeight="1">
      <c r="A2" s="2" t="s">
        <v>51</v>
      </c>
    </row>
    <row r="3">
      <c r="A3" s="14" t="s">
        <v>53</v>
      </c>
      <c r="W3" s="15" t="s">
        <v>54</v>
      </c>
    </row>
    <row r="4" ht="90.75"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6" t="s">
        <v>85</v>
      </c>
      <c r="AE4" s="19" t="s">
        <v>86</v>
      </c>
      <c r="AF4" s="16" t="s">
        <v>87</v>
      </c>
      <c r="AG4" s="16" t="s">
        <v>88</v>
      </c>
      <c r="AH4" s="19" t="s">
        <v>89</v>
      </c>
    </row>
    <row r="5" ht="408.75" customHeight="1">
      <c r="A5" s="20">
        <v>478.0</v>
      </c>
      <c r="B5" s="21" t="str">
        <f>HYPERLINK("https://github.com/pytorch-fdn/ambassador-program/issues/478","https://github.com/pytorch-fdn/ambassador-program/issues/478")</f>
        <v>https://github.com/pytorch-fdn/ambassador-program/issues/478</v>
      </c>
      <c r="C5" s="20" t="s">
        <v>151</v>
      </c>
      <c r="D5" s="20" t="s">
        <v>152</v>
      </c>
      <c r="E5" s="20" t="s">
        <v>153</v>
      </c>
      <c r="F5" s="20" t="s">
        <v>95</v>
      </c>
      <c r="G5" s="20" t="s">
        <v>155</v>
      </c>
      <c r="H5" s="20" t="s">
        <v>98</v>
      </c>
      <c r="I5" s="20" t="s">
        <v>100</v>
      </c>
      <c r="J5" s="20" t="s">
        <v>157</v>
      </c>
      <c r="K5" s="20" t="s">
        <v>159</v>
      </c>
      <c r="L5" s="20" t="s">
        <v>161</v>
      </c>
      <c r="M5" s="20" t="s">
        <v>162</v>
      </c>
      <c r="N5" s="20" t="s">
        <v>100</v>
      </c>
      <c r="O5" s="20" t="s">
        <v>147</v>
      </c>
      <c r="P5" s="20" t="s">
        <v>166</v>
      </c>
      <c r="Q5" s="20" t="s">
        <v>167</v>
      </c>
      <c r="R5" s="20" t="s">
        <v>168</v>
      </c>
      <c r="S5" s="20" t="s">
        <v>169</v>
      </c>
      <c r="T5" s="20" t="s">
        <v>115</v>
      </c>
      <c r="U5" s="20" t="s">
        <v>170</v>
      </c>
      <c r="V5" s="20" t="s">
        <v>174</v>
      </c>
      <c r="W5" s="22">
        <v>4.0</v>
      </c>
      <c r="X5" s="22">
        <v>3.0</v>
      </c>
      <c r="Y5" s="22">
        <v>3.0</v>
      </c>
      <c r="Z5" s="22">
        <v>3.0</v>
      </c>
      <c r="AA5" s="22">
        <v>3.0</v>
      </c>
      <c r="AB5" s="22">
        <v>3.0</v>
      </c>
      <c r="AC5" s="22">
        <v>3.0</v>
      </c>
      <c r="AD5" s="22">
        <v>3.0</v>
      </c>
      <c r="AE5" s="23">
        <f t="shared" ref="AE5:AE29" si="1">IF(COUNT(W5:AD5)=8,SUM(W5:AD5),"")</f>
        <v>25</v>
      </c>
      <c r="AF5" s="24" t="s">
        <v>195</v>
      </c>
      <c r="AG5" s="36" t="s">
        <v>1137</v>
      </c>
      <c r="AH5" s="25" t="str">
        <f t="shared" ref="AH5:AH29" si="2">IF(AND(COUNT(W5:AD5)=0,AF5="",AG5=""),"Not Started",IF(AF5="Abstain (Conflict of Interest)",IF(AG5&lt;&gt;"","Reassignment Required","Add Conflict Note"),IF(AND(COUNT(W5:AD5)=8,AF5&lt;&gt;"",AG5&lt;&gt;""),"Complete","In Progress")))</f>
        <v>Complete</v>
      </c>
    </row>
    <row r="6" ht="276.0" customHeight="1">
      <c r="A6" s="26">
        <v>474.0</v>
      </c>
      <c r="B6" s="27" t="str">
        <f>HYPERLINK("https://github.com/pytorch-fdn/ambassador-program/issues/474","https://github.com/pytorch-fdn/ambassador-program/issues/474")</f>
        <v>https://github.com/pytorch-fdn/ambassador-program/issues/474</v>
      </c>
      <c r="C6" s="26" t="s">
        <v>1151</v>
      </c>
      <c r="D6" s="26" t="s">
        <v>1152</v>
      </c>
      <c r="E6" s="26" t="s">
        <v>96</v>
      </c>
      <c r="F6" s="26" t="s">
        <v>95</v>
      </c>
      <c r="G6" s="26" t="s">
        <v>1153</v>
      </c>
      <c r="H6" s="26" t="s">
        <v>103</v>
      </c>
      <c r="I6" s="26" t="s">
        <v>100</v>
      </c>
      <c r="J6" s="26" t="s">
        <v>1154</v>
      </c>
      <c r="K6" s="26" t="s">
        <v>100</v>
      </c>
      <c r="L6" s="26" t="s">
        <v>100</v>
      </c>
      <c r="M6" s="26" t="s">
        <v>108</v>
      </c>
      <c r="N6" s="26" t="s">
        <v>100</v>
      </c>
      <c r="O6" s="26" t="s">
        <v>571</v>
      </c>
      <c r="P6" s="26" t="s">
        <v>1155</v>
      </c>
      <c r="Q6" s="26" t="s">
        <v>1156</v>
      </c>
      <c r="R6" s="26" t="s">
        <v>1157</v>
      </c>
      <c r="S6" s="26" t="s">
        <v>399</v>
      </c>
      <c r="T6" s="26" t="s">
        <v>115</v>
      </c>
      <c r="U6" s="26" t="s">
        <v>117</v>
      </c>
      <c r="V6" s="26" t="s">
        <v>1158</v>
      </c>
      <c r="W6" s="22">
        <v>1.0</v>
      </c>
      <c r="X6" s="22">
        <v>2.0</v>
      </c>
      <c r="Y6" s="22">
        <v>2.0</v>
      </c>
      <c r="Z6" s="22">
        <v>2.0</v>
      </c>
      <c r="AA6" s="22">
        <v>1.0</v>
      </c>
      <c r="AB6" s="22">
        <v>2.0</v>
      </c>
      <c r="AC6" s="22">
        <v>2.0</v>
      </c>
      <c r="AD6" s="22">
        <v>1.0</v>
      </c>
      <c r="AE6" s="28">
        <f t="shared" si="1"/>
        <v>13</v>
      </c>
      <c r="AF6" s="24" t="s">
        <v>124</v>
      </c>
      <c r="AG6" s="24" t="s">
        <v>1163</v>
      </c>
      <c r="AH6" s="29" t="str">
        <f t="shared" si="2"/>
        <v>Complete</v>
      </c>
    </row>
    <row r="7" ht="408.75" customHeight="1">
      <c r="A7" s="26">
        <v>472.0</v>
      </c>
      <c r="B7" s="27" t="str">
        <f>HYPERLINK("https://github.com/pytorch-fdn/ambassador-program/issues/472","https://github.com/pytorch-fdn/ambassador-program/issues/472")</f>
        <v>https://github.com/pytorch-fdn/ambassador-program/issues/472</v>
      </c>
      <c r="C7" s="26" t="s">
        <v>180</v>
      </c>
      <c r="D7" s="26" t="s">
        <v>181</v>
      </c>
      <c r="E7" s="26" t="s">
        <v>183</v>
      </c>
      <c r="F7" s="26" t="s">
        <v>175</v>
      </c>
      <c r="G7" s="26" t="s">
        <v>185</v>
      </c>
      <c r="H7" s="26" t="s">
        <v>103</v>
      </c>
      <c r="I7" s="26" t="s">
        <v>100</v>
      </c>
      <c r="J7" s="26" t="s">
        <v>187</v>
      </c>
      <c r="K7" s="26" t="s">
        <v>100</v>
      </c>
      <c r="L7" s="26" t="s">
        <v>100</v>
      </c>
      <c r="M7" s="26" t="s">
        <v>108</v>
      </c>
      <c r="N7" s="26" t="s">
        <v>100</v>
      </c>
      <c r="O7" s="26" t="s">
        <v>188</v>
      </c>
      <c r="P7" s="26" t="s">
        <v>189</v>
      </c>
      <c r="Q7" s="26" t="s">
        <v>193</v>
      </c>
      <c r="R7" s="26" t="s">
        <v>194</v>
      </c>
      <c r="S7" s="26" t="s">
        <v>196</v>
      </c>
      <c r="T7" s="26" t="s">
        <v>198</v>
      </c>
      <c r="U7" s="26" t="s">
        <v>200</v>
      </c>
      <c r="V7" s="26" t="s">
        <v>118</v>
      </c>
      <c r="W7" s="22">
        <v>1.0</v>
      </c>
      <c r="X7" s="22">
        <v>1.0</v>
      </c>
      <c r="Y7" s="22">
        <v>2.0</v>
      </c>
      <c r="Z7" s="22">
        <v>2.0</v>
      </c>
      <c r="AA7" s="22">
        <v>3.0</v>
      </c>
      <c r="AB7" s="22">
        <v>3.0</v>
      </c>
      <c r="AC7" s="22">
        <v>3.0</v>
      </c>
      <c r="AD7" s="22">
        <v>1.0</v>
      </c>
      <c r="AE7" s="28">
        <f t="shared" si="1"/>
        <v>16</v>
      </c>
      <c r="AF7" s="24" t="s">
        <v>124</v>
      </c>
      <c r="AG7" s="24" t="s">
        <v>1175</v>
      </c>
      <c r="AH7" s="29" t="str">
        <f t="shared" si="2"/>
        <v>Complete</v>
      </c>
    </row>
    <row r="8" ht="408.75" customHeight="1">
      <c r="A8" s="26">
        <v>470.0</v>
      </c>
      <c r="B8" s="27" t="str">
        <f>HYPERLINK("https://github.com/pytorch-fdn/ambassador-program/issues/470","https://github.com/pytorch-fdn/ambassador-program/issues/470")</f>
        <v>https://github.com/pytorch-fdn/ambassador-program/issues/470</v>
      </c>
      <c r="C8" s="26" t="s">
        <v>1129</v>
      </c>
      <c r="D8" s="26" t="s">
        <v>1130</v>
      </c>
      <c r="E8" s="26" t="s">
        <v>1131</v>
      </c>
      <c r="F8" s="26" t="s">
        <v>95</v>
      </c>
      <c r="G8" s="26" t="s">
        <v>1132</v>
      </c>
      <c r="H8" s="26" t="s">
        <v>103</v>
      </c>
      <c r="I8" s="26" t="s">
        <v>100</v>
      </c>
      <c r="J8" s="26" t="s">
        <v>1133</v>
      </c>
      <c r="K8" s="26" t="s">
        <v>100</v>
      </c>
      <c r="L8" s="26" t="s">
        <v>100</v>
      </c>
      <c r="M8" s="26" t="s">
        <v>500</v>
      </c>
      <c r="N8" s="26" t="s">
        <v>100</v>
      </c>
      <c r="O8" s="26" t="s">
        <v>279</v>
      </c>
      <c r="P8" s="26" t="s">
        <v>1138</v>
      </c>
      <c r="Q8" s="26" t="s">
        <v>1140</v>
      </c>
      <c r="R8" s="26" t="s">
        <v>1142</v>
      </c>
      <c r="S8" s="26" t="s">
        <v>144</v>
      </c>
      <c r="T8" s="26" t="s">
        <v>121</v>
      </c>
      <c r="U8" s="26" t="s">
        <v>1143</v>
      </c>
      <c r="V8" s="26" t="s">
        <v>1144</v>
      </c>
      <c r="W8" s="22">
        <v>2.0</v>
      </c>
      <c r="X8" s="22">
        <v>3.0</v>
      </c>
      <c r="Y8" s="22">
        <v>3.0</v>
      </c>
      <c r="Z8" s="22">
        <v>4.0</v>
      </c>
      <c r="AA8" s="22">
        <v>4.0</v>
      </c>
      <c r="AB8" s="22">
        <v>3.0</v>
      </c>
      <c r="AC8" s="22">
        <v>5.0</v>
      </c>
      <c r="AD8" s="22">
        <v>3.0</v>
      </c>
      <c r="AE8" s="28">
        <f t="shared" si="1"/>
        <v>27</v>
      </c>
      <c r="AF8" s="24" t="s">
        <v>195</v>
      </c>
      <c r="AG8" s="24" t="s">
        <v>1182</v>
      </c>
      <c r="AH8" s="29" t="str">
        <f t="shared" si="2"/>
        <v>Complete</v>
      </c>
    </row>
    <row r="9" ht="126.0" customHeight="1">
      <c r="A9" s="26">
        <v>468.0</v>
      </c>
      <c r="B9" s="27" t="str">
        <f>HYPERLINK("https://github.com/pytorch-fdn/ambassador-program/issues/468","https://github.com/pytorch-fdn/ambassador-program/issues/468")</f>
        <v>https://github.com/pytorch-fdn/ambassador-program/issues/468</v>
      </c>
      <c r="C9" s="26" t="s">
        <v>190</v>
      </c>
      <c r="D9" s="26" t="s">
        <v>191</v>
      </c>
      <c r="E9" s="26" t="s">
        <v>192</v>
      </c>
      <c r="F9" s="26" t="s">
        <v>99</v>
      </c>
      <c r="G9" s="26" t="s">
        <v>100</v>
      </c>
      <c r="H9" s="26" t="s">
        <v>103</v>
      </c>
      <c r="I9" s="26" t="s">
        <v>100</v>
      </c>
      <c r="J9" s="26" t="s">
        <v>100</v>
      </c>
      <c r="K9" s="26" t="s">
        <v>100</v>
      </c>
      <c r="L9" s="26" t="s">
        <v>100</v>
      </c>
      <c r="M9" s="26" t="s">
        <v>162</v>
      </c>
      <c r="N9" s="26" t="s">
        <v>100</v>
      </c>
      <c r="O9" s="26" t="s">
        <v>201</v>
      </c>
      <c r="P9" s="26" t="s">
        <v>202</v>
      </c>
      <c r="Q9" s="26" t="s">
        <v>203</v>
      </c>
      <c r="R9" s="26" t="s">
        <v>204</v>
      </c>
      <c r="S9" s="26" t="s">
        <v>205</v>
      </c>
      <c r="T9" s="26" t="s">
        <v>115</v>
      </c>
      <c r="U9" s="26" t="s">
        <v>145</v>
      </c>
      <c r="V9" s="26" t="s">
        <v>118</v>
      </c>
      <c r="W9" s="22">
        <v>1.0</v>
      </c>
      <c r="X9" s="22">
        <v>1.0</v>
      </c>
      <c r="Y9" s="22">
        <v>1.0</v>
      </c>
      <c r="Z9" s="22">
        <v>1.0</v>
      </c>
      <c r="AA9" s="22">
        <v>1.0</v>
      </c>
      <c r="AB9" s="22">
        <v>1.0</v>
      </c>
      <c r="AC9" s="22">
        <v>1.0</v>
      </c>
      <c r="AD9" s="22">
        <v>1.0</v>
      </c>
      <c r="AE9" s="28">
        <f t="shared" si="1"/>
        <v>8</v>
      </c>
      <c r="AF9" s="24" t="s">
        <v>124</v>
      </c>
      <c r="AG9" s="24" t="s">
        <v>1193</v>
      </c>
      <c r="AH9" s="29" t="str">
        <f t="shared" si="2"/>
        <v>Complete</v>
      </c>
    </row>
    <row r="10" ht="408.75" customHeight="1">
      <c r="A10" s="26">
        <v>458.0</v>
      </c>
      <c r="B10" s="27" t="str">
        <f>HYPERLINK("https://github.com/pytorch-fdn/ambassador-program/issues/458","https://github.com/pytorch-fdn/ambassador-program/issues/458")</f>
        <v>https://github.com/pytorch-fdn/ambassador-program/issues/458</v>
      </c>
      <c r="C10" s="26" t="s">
        <v>219</v>
      </c>
      <c r="D10" s="26" t="s">
        <v>222</v>
      </c>
      <c r="E10" s="26" t="s">
        <v>224</v>
      </c>
      <c r="F10" s="26" t="s">
        <v>95</v>
      </c>
      <c r="G10" s="26" t="s">
        <v>229</v>
      </c>
      <c r="H10" s="26" t="s">
        <v>103</v>
      </c>
      <c r="I10" s="26" t="s">
        <v>100</v>
      </c>
      <c r="J10" s="26" t="s">
        <v>236</v>
      </c>
      <c r="K10" s="26" t="s">
        <v>100</v>
      </c>
      <c r="L10" s="26" t="s">
        <v>239</v>
      </c>
      <c r="M10" s="26" t="s">
        <v>108</v>
      </c>
      <c r="N10" s="26" t="s">
        <v>100</v>
      </c>
      <c r="O10" s="26" t="s">
        <v>147</v>
      </c>
      <c r="P10" s="26" t="s">
        <v>249</v>
      </c>
      <c r="Q10" s="26" t="s">
        <v>251</v>
      </c>
      <c r="R10" s="26" t="s">
        <v>253</v>
      </c>
      <c r="S10" s="26" t="s">
        <v>254</v>
      </c>
      <c r="T10" s="26" t="s">
        <v>121</v>
      </c>
      <c r="U10" s="26" t="s">
        <v>255</v>
      </c>
      <c r="V10" s="26" t="s">
        <v>263</v>
      </c>
      <c r="W10" s="22">
        <v>2.0</v>
      </c>
      <c r="X10" s="22">
        <v>2.0</v>
      </c>
      <c r="Y10" s="22">
        <v>3.0</v>
      </c>
      <c r="Z10" s="22">
        <v>3.0</v>
      </c>
      <c r="AA10" s="22">
        <v>2.0</v>
      </c>
      <c r="AB10" s="22">
        <v>2.0</v>
      </c>
      <c r="AC10" s="22">
        <v>3.0</v>
      </c>
      <c r="AD10" s="22">
        <v>2.0</v>
      </c>
      <c r="AE10" s="28">
        <f t="shared" si="1"/>
        <v>19</v>
      </c>
      <c r="AF10" s="24" t="s">
        <v>303</v>
      </c>
      <c r="AG10" s="24" t="s">
        <v>1203</v>
      </c>
      <c r="AH10" s="29" t="str">
        <f t="shared" si="2"/>
        <v>Complete</v>
      </c>
    </row>
    <row r="11" ht="408.75" customHeight="1">
      <c r="A11" s="26">
        <v>441.0</v>
      </c>
      <c r="B11" s="27" t="str">
        <f>HYPERLINK("https://github.com/pytorch-fdn/ambassador-program/issues/441","https://github.com/pytorch-fdn/ambassador-program/issues/441")</f>
        <v>https://github.com/pytorch-fdn/ambassador-program/issues/441</v>
      </c>
      <c r="C11" s="26" t="s">
        <v>492</v>
      </c>
      <c r="D11" s="26" t="s">
        <v>493</v>
      </c>
      <c r="E11" s="26" t="s">
        <v>494</v>
      </c>
      <c r="F11" s="26" t="s">
        <v>95</v>
      </c>
      <c r="G11" s="26" t="s">
        <v>495</v>
      </c>
      <c r="H11" s="26" t="s">
        <v>103</v>
      </c>
      <c r="I11" s="26" t="s">
        <v>100</v>
      </c>
      <c r="J11" s="26" t="s">
        <v>497</v>
      </c>
      <c r="K11" s="26" t="s">
        <v>498</v>
      </c>
      <c r="L11" s="26" t="s">
        <v>100</v>
      </c>
      <c r="M11" s="26" t="s">
        <v>500</v>
      </c>
      <c r="N11" s="26" t="s">
        <v>100</v>
      </c>
      <c r="O11" s="26" t="s">
        <v>107</v>
      </c>
      <c r="P11" s="26" t="s">
        <v>507</v>
      </c>
      <c r="Q11" s="26" t="s">
        <v>511</v>
      </c>
      <c r="R11" s="26" t="s">
        <v>514</v>
      </c>
      <c r="S11" s="26" t="s">
        <v>169</v>
      </c>
      <c r="T11" s="26" t="s">
        <v>158</v>
      </c>
      <c r="U11" s="26" t="s">
        <v>401</v>
      </c>
      <c r="V11" s="26" t="s">
        <v>520</v>
      </c>
      <c r="W11" s="22">
        <v>1.0</v>
      </c>
      <c r="X11" s="22">
        <v>1.0</v>
      </c>
      <c r="Y11" s="22">
        <v>3.0</v>
      </c>
      <c r="Z11" s="22">
        <v>2.0</v>
      </c>
      <c r="AA11" s="22">
        <v>2.0</v>
      </c>
      <c r="AB11" s="22">
        <v>2.0</v>
      </c>
      <c r="AC11" s="22">
        <v>2.0</v>
      </c>
      <c r="AD11" s="22">
        <v>1.0</v>
      </c>
      <c r="AE11" s="28">
        <f t="shared" si="1"/>
        <v>14</v>
      </c>
      <c r="AF11" s="24" t="s">
        <v>124</v>
      </c>
      <c r="AG11" s="36" t="s">
        <v>1211</v>
      </c>
      <c r="AH11" s="29" t="str">
        <f t="shared" si="2"/>
        <v>Complete</v>
      </c>
    </row>
    <row r="12" ht="126.0" customHeight="1">
      <c r="A12" s="26">
        <v>437.0</v>
      </c>
      <c r="B12" s="27" t="str">
        <f>HYPERLINK("https://github.com/pytorch-fdn/ambassador-program/issues/437","https://github.com/pytorch-fdn/ambassador-program/issues/437")</f>
        <v>https://github.com/pytorch-fdn/ambassador-program/issues/437</v>
      </c>
      <c r="C12" s="26" t="s">
        <v>368</v>
      </c>
      <c r="D12" s="26" t="s">
        <v>371</v>
      </c>
      <c r="E12" s="26" t="s">
        <v>375</v>
      </c>
      <c r="F12" s="26" t="s">
        <v>175</v>
      </c>
      <c r="G12" s="26" t="s">
        <v>380</v>
      </c>
      <c r="H12" s="26" t="s">
        <v>103</v>
      </c>
      <c r="I12" s="26" t="s">
        <v>100</v>
      </c>
      <c r="J12" s="26" t="s">
        <v>387</v>
      </c>
      <c r="K12" s="26" t="s">
        <v>100</v>
      </c>
      <c r="L12" s="26" t="s">
        <v>100</v>
      </c>
      <c r="M12" s="26" t="s">
        <v>391</v>
      </c>
      <c r="N12" s="26" t="s">
        <v>100</v>
      </c>
      <c r="O12" s="26" t="s">
        <v>134</v>
      </c>
      <c r="P12" s="26" t="s">
        <v>393</v>
      </c>
      <c r="Q12" s="26" t="s">
        <v>395</v>
      </c>
      <c r="R12" s="26" t="s">
        <v>398</v>
      </c>
      <c r="S12" s="26" t="s">
        <v>400</v>
      </c>
      <c r="T12" s="26" t="s">
        <v>158</v>
      </c>
      <c r="U12" s="26" t="s">
        <v>402</v>
      </c>
      <c r="V12" s="26" t="s">
        <v>118</v>
      </c>
      <c r="W12" s="22">
        <v>1.0</v>
      </c>
      <c r="X12" s="22">
        <v>1.0</v>
      </c>
      <c r="Y12" s="22">
        <v>1.0</v>
      </c>
      <c r="Z12" s="22">
        <v>1.0</v>
      </c>
      <c r="AA12" s="22">
        <v>1.0</v>
      </c>
      <c r="AB12" s="22">
        <v>1.0</v>
      </c>
      <c r="AC12" s="22">
        <v>1.0</v>
      </c>
      <c r="AD12" s="22">
        <v>1.0</v>
      </c>
      <c r="AE12" s="28">
        <f t="shared" si="1"/>
        <v>8</v>
      </c>
      <c r="AF12" s="24" t="s">
        <v>124</v>
      </c>
      <c r="AG12" s="24" t="s">
        <v>1213</v>
      </c>
      <c r="AH12" s="29" t="str">
        <f t="shared" si="2"/>
        <v>Complete</v>
      </c>
    </row>
    <row r="13" ht="228.0" customHeight="1">
      <c r="A13" s="26">
        <v>433.0</v>
      </c>
      <c r="B13" s="27" t="str">
        <f>HYPERLINK("https://github.com/pytorch-fdn/ambassador-program/issues/433","https://github.com/pytorch-fdn/ambassador-program/issues/433")</f>
        <v>https://github.com/pytorch-fdn/ambassador-program/issues/433</v>
      </c>
      <c r="C13" s="26" t="s">
        <v>525</v>
      </c>
      <c r="D13" s="26" t="s">
        <v>526</v>
      </c>
      <c r="E13" s="26" t="s">
        <v>421</v>
      </c>
      <c r="F13" s="26" t="s">
        <v>175</v>
      </c>
      <c r="G13" s="26" t="s">
        <v>528</v>
      </c>
      <c r="H13" s="26" t="s">
        <v>103</v>
      </c>
      <c r="I13" s="26" t="s">
        <v>100</v>
      </c>
      <c r="J13" s="26" t="s">
        <v>532</v>
      </c>
      <c r="K13" s="26" t="s">
        <v>534</v>
      </c>
      <c r="L13" s="26" t="s">
        <v>100</v>
      </c>
      <c r="M13" s="26" t="s">
        <v>162</v>
      </c>
      <c r="N13" s="26" t="s">
        <v>100</v>
      </c>
      <c r="O13" s="26" t="s">
        <v>538</v>
      </c>
      <c r="P13" s="26" t="s">
        <v>539</v>
      </c>
      <c r="Q13" s="26" t="s">
        <v>543</v>
      </c>
      <c r="R13" s="26" t="s">
        <v>546</v>
      </c>
      <c r="S13" s="26" t="s">
        <v>549</v>
      </c>
      <c r="T13" s="26" t="s">
        <v>115</v>
      </c>
      <c r="U13" s="26" t="s">
        <v>145</v>
      </c>
      <c r="V13" s="26" t="s">
        <v>118</v>
      </c>
      <c r="W13" s="22">
        <v>2.0</v>
      </c>
      <c r="X13" s="22">
        <v>1.0</v>
      </c>
      <c r="Y13" s="22">
        <v>2.0</v>
      </c>
      <c r="Z13" s="22">
        <v>2.0</v>
      </c>
      <c r="AA13" s="22">
        <v>1.0</v>
      </c>
      <c r="AB13" s="22">
        <v>1.0</v>
      </c>
      <c r="AC13" s="22">
        <v>2.0</v>
      </c>
      <c r="AD13" s="22">
        <v>2.0</v>
      </c>
      <c r="AE13" s="28">
        <f t="shared" si="1"/>
        <v>13</v>
      </c>
      <c r="AF13" s="24" t="s">
        <v>124</v>
      </c>
      <c r="AG13" s="24" t="s">
        <v>1228</v>
      </c>
      <c r="AH13" s="29" t="str">
        <f t="shared" si="2"/>
        <v>Complete</v>
      </c>
    </row>
    <row r="14" ht="126.0" customHeight="1">
      <c r="A14" s="26">
        <v>429.0</v>
      </c>
      <c r="B14" s="27" t="str">
        <f>HYPERLINK("https://github.com/pytorch-fdn/ambassador-program/issues/429","https://github.com/pytorch-fdn/ambassador-program/issues/429")</f>
        <v>https://github.com/pytorch-fdn/ambassador-program/issues/429</v>
      </c>
      <c r="C14" s="26" t="s">
        <v>466</v>
      </c>
      <c r="D14" s="26" t="s">
        <v>467</v>
      </c>
      <c r="E14" s="26" t="s">
        <v>468</v>
      </c>
      <c r="F14" s="26" t="s">
        <v>175</v>
      </c>
      <c r="G14" s="26" t="s">
        <v>469</v>
      </c>
      <c r="H14" s="26" t="s">
        <v>98</v>
      </c>
      <c r="I14" s="26" t="s">
        <v>100</v>
      </c>
      <c r="J14" s="26" t="s">
        <v>470</v>
      </c>
      <c r="K14" s="26" t="s">
        <v>100</v>
      </c>
      <c r="L14" s="26" t="s">
        <v>471</v>
      </c>
      <c r="M14" s="26" t="s">
        <v>108</v>
      </c>
      <c r="N14" s="26" t="s">
        <v>100</v>
      </c>
      <c r="O14" s="26" t="s">
        <v>474</v>
      </c>
      <c r="P14" s="26" t="s">
        <v>476</v>
      </c>
      <c r="Q14" s="26" t="s">
        <v>477</v>
      </c>
      <c r="R14" s="26" t="s">
        <v>479</v>
      </c>
      <c r="S14" s="26" t="s">
        <v>481</v>
      </c>
      <c r="T14" s="26" t="s">
        <v>348</v>
      </c>
      <c r="U14" s="26" t="s">
        <v>484</v>
      </c>
      <c r="V14" s="26" t="s">
        <v>487</v>
      </c>
      <c r="W14" s="22">
        <v>1.0</v>
      </c>
      <c r="X14" s="22">
        <v>1.0</v>
      </c>
      <c r="Y14" s="22">
        <v>1.0</v>
      </c>
      <c r="Z14" s="22">
        <v>1.0</v>
      </c>
      <c r="AA14" s="22">
        <v>2.0</v>
      </c>
      <c r="AB14" s="22">
        <v>2.0</v>
      </c>
      <c r="AC14" s="22">
        <v>2.0</v>
      </c>
      <c r="AD14" s="22">
        <v>1.0</v>
      </c>
      <c r="AE14" s="28">
        <f t="shared" si="1"/>
        <v>11</v>
      </c>
      <c r="AF14" s="24" t="s">
        <v>124</v>
      </c>
      <c r="AG14" s="24" t="s">
        <v>1242</v>
      </c>
      <c r="AH14" s="29" t="str">
        <f t="shared" si="2"/>
        <v>Complete</v>
      </c>
    </row>
    <row r="15" ht="264.0" customHeight="1">
      <c r="A15" s="26">
        <v>425.0</v>
      </c>
      <c r="B15" s="27" t="str">
        <f>HYPERLINK("https://github.com/pytorch-fdn/ambassador-program/issues/425","https://github.com/pytorch-fdn/ambassador-program/issues/425")</f>
        <v>https://github.com/pytorch-fdn/ambassador-program/issues/425</v>
      </c>
      <c r="C15" s="26" t="s">
        <v>1243</v>
      </c>
      <c r="D15" s="26" t="s">
        <v>1244</v>
      </c>
      <c r="E15" s="26" t="s">
        <v>1245</v>
      </c>
      <c r="F15" s="26" t="s">
        <v>99</v>
      </c>
      <c r="G15" s="26" t="s">
        <v>1247</v>
      </c>
      <c r="H15" s="26" t="s">
        <v>103</v>
      </c>
      <c r="I15" s="26" t="s">
        <v>100</v>
      </c>
      <c r="J15" s="26" t="s">
        <v>1248</v>
      </c>
      <c r="K15" s="26" t="s">
        <v>100</v>
      </c>
      <c r="L15" s="26" t="s">
        <v>100</v>
      </c>
      <c r="M15" s="26" t="s">
        <v>1249</v>
      </c>
      <c r="N15" s="26" t="s">
        <v>1250</v>
      </c>
      <c r="O15" s="26" t="s">
        <v>1252</v>
      </c>
      <c r="P15" s="26" t="s">
        <v>1255</v>
      </c>
      <c r="Q15" s="26" t="s">
        <v>1257</v>
      </c>
      <c r="R15" s="26" t="s">
        <v>1260</v>
      </c>
      <c r="S15" s="26" t="s">
        <v>1261</v>
      </c>
      <c r="T15" s="26" t="s">
        <v>115</v>
      </c>
      <c r="U15" s="26" t="s">
        <v>145</v>
      </c>
      <c r="V15" s="26" t="s">
        <v>118</v>
      </c>
      <c r="W15" s="22">
        <v>1.0</v>
      </c>
      <c r="X15" s="22">
        <v>1.0</v>
      </c>
      <c r="Y15" s="22">
        <v>1.0</v>
      </c>
      <c r="Z15" s="22">
        <v>1.0</v>
      </c>
      <c r="AA15" s="22">
        <v>2.0</v>
      </c>
      <c r="AB15" s="22">
        <v>1.0</v>
      </c>
      <c r="AC15" s="22">
        <v>1.0</v>
      </c>
      <c r="AD15" s="22">
        <v>1.0</v>
      </c>
      <c r="AE15" s="28">
        <f t="shared" si="1"/>
        <v>9</v>
      </c>
      <c r="AF15" s="24" t="s">
        <v>124</v>
      </c>
      <c r="AG15" s="24" t="s">
        <v>1269</v>
      </c>
      <c r="AH15" s="29" t="str">
        <f t="shared" si="2"/>
        <v>Complete</v>
      </c>
    </row>
    <row r="16" ht="144.0" customHeight="1">
      <c r="A16" s="26">
        <v>408.0</v>
      </c>
      <c r="B16" s="27" t="str">
        <f>HYPERLINK("https://github.com/pytorch-fdn/ambassador-program/issues/408","https://github.com/pytorch-fdn/ambassador-program/issues/408")</f>
        <v>https://github.com/pytorch-fdn/ambassador-program/issues/408</v>
      </c>
      <c r="C16" s="26" t="s">
        <v>1275</v>
      </c>
      <c r="D16" s="26" t="s">
        <v>1277</v>
      </c>
      <c r="E16" s="26" t="s">
        <v>1278</v>
      </c>
      <c r="F16" s="26" t="s">
        <v>95</v>
      </c>
      <c r="G16" s="26" t="s">
        <v>1279</v>
      </c>
      <c r="H16" s="26" t="s">
        <v>103</v>
      </c>
      <c r="I16" s="26" t="s">
        <v>100</v>
      </c>
      <c r="J16" s="26" t="s">
        <v>1280</v>
      </c>
      <c r="K16" s="26" t="s">
        <v>100</v>
      </c>
      <c r="L16" s="26" t="s">
        <v>100</v>
      </c>
      <c r="M16" s="26" t="s">
        <v>162</v>
      </c>
      <c r="N16" s="26" t="s">
        <v>100</v>
      </c>
      <c r="O16" s="26" t="s">
        <v>1282</v>
      </c>
      <c r="P16" s="26" t="s">
        <v>1283</v>
      </c>
      <c r="Q16" s="26" t="s">
        <v>1285</v>
      </c>
      <c r="R16" s="26" t="s">
        <v>1286</v>
      </c>
      <c r="S16" s="26" t="s">
        <v>902</v>
      </c>
      <c r="T16" s="26" t="s">
        <v>158</v>
      </c>
      <c r="U16" s="26" t="s">
        <v>160</v>
      </c>
      <c r="V16" s="26" t="s">
        <v>118</v>
      </c>
      <c r="W16" s="22">
        <v>1.0</v>
      </c>
      <c r="X16" s="22">
        <v>1.0</v>
      </c>
      <c r="Y16" s="22">
        <v>2.0</v>
      </c>
      <c r="Z16" s="22">
        <v>2.0</v>
      </c>
      <c r="AA16" s="22">
        <v>2.0</v>
      </c>
      <c r="AB16" s="22">
        <v>2.0</v>
      </c>
      <c r="AC16" s="22">
        <v>2.0</v>
      </c>
      <c r="AD16" s="22">
        <v>1.0</v>
      </c>
      <c r="AE16" s="28">
        <f t="shared" si="1"/>
        <v>13</v>
      </c>
      <c r="AF16" s="24" t="s">
        <v>124</v>
      </c>
      <c r="AG16" s="24" t="s">
        <v>1305</v>
      </c>
      <c r="AH16" s="29" t="str">
        <f t="shared" si="2"/>
        <v>Complete</v>
      </c>
    </row>
    <row r="17" ht="240.0" customHeight="1">
      <c r="A17" s="26">
        <v>383.0</v>
      </c>
      <c r="B17" s="27" t="str">
        <f>HYPERLINK("https://github.com/pytorch-fdn/ambassador-program/issues/383","https://github.com/pytorch-fdn/ambassador-program/issues/383")</f>
        <v>https://github.com/pytorch-fdn/ambassador-program/issues/383</v>
      </c>
      <c r="C17" s="26" t="s">
        <v>1313</v>
      </c>
      <c r="D17" s="26" t="s">
        <v>1314</v>
      </c>
      <c r="E17" s="26" t="s">
        <v>1316</v>
      </c>
      <c r="F17" s="26" t="s">
        <v>95</v>
      </c>
      <c r="G17" s="26" t="s">
        <v>1317</v>
      </c>
      <c r="H17" s="26" t="s">
        <v>103</v>
      </c>
      <c r="I17" s="26" t="s">
        <v>100</v>
      </c>
      <c r="J17" s="26" t="s">
        <v>1320</v>
      </c>
      <c r="K17" s="26" t="s">
        <v>100</v>
      </c>
      <c r="L17" s="26" t="s">
        <v>100</v>
      </c>
      <c r="M17" s="26" t="s">
        <v>108</v>
      </c>
      <c r="N17" s="26" t="s">
        <v>100</v>
      </c>
      <c r="O17" s="26" t="s">
        <v>1323</v>
      </c>
      <c r="P17" s="26" t="s">
        <v>1324</v>
      </c>
      <c r="Q17" s="26" t="s">
        <v>1325</v>
      </c>
      <c r="R17" s="26" t="s">
        <v>1327</v>
      </c>
      <c r="S17" s="26" t="s">
        <v>399</v>
      </c>
      <c r="T17" s="26" t="s">
        <v>551</v>
      </c>
      <c r="U17" s="26" t="s">
        <v>552</v>
      </c>
      <c r="V17" s="26" t="s">
        <v>118</v>
      </c>
      <c r="W17" s="22">
        <v>3.0</v>
      </c>
      <c r="X17" s="22">
        <v>3.0</v>
      </c>
      <c r="Y17" s="22">
        <v>3.0</v>
      </c>
      <c r="Z17" s="22">
        <v>3.0</v>
      </c>
      <c r="AA17" s="22">
        <v>2.0</v>
      </c>
      <c r="AB17" s="22">
        <v>3.0</v>
      </c>
      <c r="AC17" s="22">
        <v>3.0</v>
      </c>
      <c r="AD17" s="22">
        <v>3.0</v>
      </c>
      <c r="AE17" s="28">
        <f t="shared" si="1"/>
        <v>23</v>
      </c>
      <c r="AF17" s="24" t="s">
        <v>195</v>
      </c>
      <c r="AG17" s="24" t="s">
        <v>1333</v>
      </c>
      <c r="AH17" s="29" t="str">
        <f t="shared" si="2"/>
        <v>Complete</v>
      </c>
    </row>
    <row r="18" ht="336.0" customHeight="1">
      <c r="A18" s="26">
        <v>380.0</v>
      </c>
      <c r="B18" s="27" t="str">
        <f>HYPERLINK("https://github.com/pytorch-fdn/ambassador-program/issues/380","https://github.com/pytorch-fdn/ambassador-program/issues/380")</f>
        <v>https://github.com/pytorch-fdn/ambassador-program/issues/380</v>
      </c>
      <c r="C18" s="26" t="s">
        <v>1293</v>
      </c>
      <c r="D18" s="26" t="s">
        <v>1295</v>
      </c>
      <c r="E18" s="26" t="s">
        <v>1297</v>
      </c>
      <c r="F18" s="26" t="s">
        <v>261</v>
      </c>
      <c r="G18" s="26" t="s">
        <v>1298</v>
      </c>
      <c r="H18" s="26" t="s">
        <v>103</v>
      </c>
      <c r="I18" s="26" t="s">
        <v>100</v>
      </c>
      <c r="J18" s="26" t="s">
        <v>1301</v>
      </c>
      <c r="K18" s="26" t="s">
        <v>100</v>
      </c>
      <c r="L18" s="26" t="s">
        <v>100</v>
      </c>
      <c r="M18" s="26" t="s">
        <v>779</v>
      </c>
      <c r="N18" s="26" t="s">
        <v>100</v>
      </c>
      <c r="O18" s="26" t="s">
        <v>1307</v>
      </c>
      <c r="P18" s="26" t="s">
        <v>1308</v>
      </c>
      <c r="Q18" s="26" t="s">
        <v>1309</v>
      </c>
      <c r="R18" s="26" t="s">
        <v>1310</v>
      </c>
      <c r="S18" s="26" t="s">
        <v>1311</v>
      </c>
      <c r="T18" s="26" t="s">
        <v>115</v>
      </c>
      <c r="U18" s="26" t="s">
        <v>145</v>
      </c>
      <c r="V18" s="26" t="s">
        <v>1312</v>
      </c>
      <c r="W18" s="22">
        <v>2.0</v>
      </c>
      <c r="X18" s="22">
        <v>1.0</v>
      </c>
      <c r="Y18" s="22">
        <v>2.0</v>
      </c>
      <c r="Z18" s="22">
        <v>1.0</v>
      </c>
      <c r="AA18" s="22">
        <v>1.0</v>
      </c>
      <c r="AB18" s="22">
        <v>1.0</v>
      </c>
      <c r="AC18" s="22">
        <v>1.0</v>
      </c>
      <c r="AD18" s="22">
        <v>1.0</v>
      </c>
      <c r="AE18" s="28">
        <f t="shared" si="1"/>
        <v>10</v>
      </c>
      <c r="AF18" s="24" t="s">
        <v>124</v>
      </c>
      <c r="AG18" s="24" t="s">
        <v>1349</v>
      </c>
      <c r="AH18" s="29" t="str">
        <f t="shared" si="2"/>
        <v>Complete</v>
      </c>
    </row>
    <row r="19" ht="228.0" customHeight="1">
      <c r="A19" s="26">
        <v>378.0</v>
      </c>
      <c r="B19" s="27" t="str">
        <f>HYPERLINK("https://github.com/pytorch-fdn/ambassador-program/issues/378","https://github.com/pytorch-fdn/ambassador-program/issues/378")</f>
        <v>https://github.com/pytorch-fdn/ambassador-program/issues/378</v>
      </c>
      <c r="C19" s="26">
        <v>983111.0</v>
      </c>
      <c r="D19" s="26" t="s">
        <v>1352</v>
      </c>
      <c r="E19" s="26" t="s">
        <v>145</v>
      </c>
      <c r="F19" s="26" t="s">
        <v>175</v>
      </c>
      <c r="G19" s="26" t="s">
        <v>1355</v>
      </c>
      <c r="H19" s="26" t="s">
        <v>103</v>
      </c>
      <c r="I19" s="26" t="s">
        <v>100</v>
      </c>
      <c r="J19" s="26" t="s">
        <v>1356</v>
      </c>
      <c r="K19" s="26" t="s">
        <v>100</v>
      </c>
      <c r="L19" s="26" t="s">
        <v>100</v>
      </c>
      <c r="M19" s="26" t="s">
        <v>779</v>
      </c>
      <c r="N19" s="26" t="s">
        <v>100</v>
      </c>
      <c r="O19" s="26" t="s">
        <v>1359</v>
      </c>
      <c r="P19" s="26" t="s">
        <v>1362</v>
      </c>
      <c r="Q19" s="26" t="s">
        <v>1364</v>
      </c>
      <c r="R19" s="26" t="s">
        <v>1365</v>
      </c>
      <c r="S19" s="26" t="s">
        <v>1366</v>
      </c>
      <c r="T19" s="26" t="s">
        <v>115</v>
      </c>
      <c r="U19" s="26" t="s">
        <v>145</v>
      </c>
      <c r="V19" s="26" t="s">
        <v>118</v>
      </c>
      <c r="W19" s="22">
        <v>2.0</v>
      </c>
      <c r="X19" s="22">
        <v>1.0</v>
      </c>
      <c r="Y19" s="22">
        <v>2.0</v>
      </c>
      <c r="Z19" s="22">
        <v>1.0</v>
      </c>
      <c r="AA19" s="22">
        <v>1.0</v>
      </c>
      <c r="AB19" s="22">
        <v>1.0</v>
      </c>
      <c r="AC19" s="22">
        <v>1.0</v>
      </c>
      <c r="AD19" s="22">
        <v>1.0</v>
      </c>
      <c r="AE19" s="28">
        <f t="shared" si="1"/>
        <v>10</v>
      </c>
      <c r="AF19" s="24" t="s">
        <v>124</v>
      </c>
      <c r="AG19" s="24" t="s">
        <v>1373</v>
      </c>
      <c r="AH19" s="29" t="str">
        <f t="shared" si="2"/>
        <v>Complete</v>
      </c>
    </row>
    <row r="20" ht="408.75" customHeight="1">
      <c r="A20" s="26">
        <v>377.0</v>
      </c>
      <c r="B20" s="27" t="str">
        <f>HYPERLINK("https://github.com/pytorch-fdn/ambassador-program/issues/377","https://github.com/pytorch-fdn/ambassador-program/issues/377")</f>
        <v>https://github.com/pytorch-fdn/ambassador-program/issues/377</v>
      </c>
      <c r="C20" s="26" t="s">
        <v>863</v>
      </c>
      <c r="D20" s="26" t="s">
        <v>864</v>
      </c>
      <c r="E20" s="26" t="s">
        <v>865</v>
      </c>
      <c r="F20" s="26" t="s">
        <v>261</v>
      </c>
      <c r="G20" s="26" t="s">
        <v>867</v>
      </c>
      <c r="H20" s="26" t="s">
        <v>103</v>
      </c>
      <c r="I20" s="26" t="s">
        <v>869</v>
      </c>
      <c r="J20" s="26" t="s">
        <v>870</v>
      </c>
      <c r="K20" s="26" t="s">
        <v>871</v>
      </c>
      <c r="L20" s="26" t="s">
        <v>100</v>
      </c>
      <c r="M20" s="26" t="s">
        <v>108</v>
      </c>
      <c r="N20" s="26" t="s">
        <v>100</v>
      </c>
      <c r="O20" s="26" t="s">
        <v>764</v>
      </c>
      <c r="P20" s="26" t="s">
        <v>877</v>
      </c>
      <c r="Q20" s="26" t="s">
        <v>878</v>
      </c>
      <c r="R20" s="26" t="s">
        <v>879</v>
      </c>
      <c r="S20" s="26" t="s">
        <v>880</v>
      </c>
      <c r="T20" s="26" t="s">
        <v>115</v>
      </c>
      <c r="U20" s="26" t="s">
        <v>145</v>
      </c>
      <c r="V20" s="26" t="s">
        <v>885</v>
      </c>
      <c r="W20" s="22">
        <v>1.0</v>
      </c>
      <c r="X20" s="22">
        <v>1.0</v>
      </c>
      <c r="Y20" s="22">
        <v>2.0</v>
      </c>
      <c r="Z20" s="22">
        <v>2.0</v>
      </c>
      <c r="AA20" s="22">
        <v>1.0</v>
      </c>
      <c r="AB20" s="22">
        <v>2.0</v>
      </c>
      <c r="AC20" s="22">
        <v>1.0</v>
      </c>
      <c r="AD20" s="22">
        <v>1.0</v>
      </c>
      <c r="AE20" s="28">
        <f t="shared" si="1"/>
        <v>11</v>
      </c>
      <c r="AF20" s="24" t="s">
        <v>124</v>
      </c>
      <c r="AG20" s="24" t="s">
        <v>1373</v>
      </c>
      <c r="AH20" s="29" t="str">
        <f t="shared" si="2"/>
        <v>Complete</v>
      </c>
    </row>
    <row r="21" ht="228.0" customHeight="1">
      <c r="A21" s="26">
        <v>370.0</v>
      </c>
      <c r="B21" s="27" t="str">
        <f>HYPERLINK("https://github.com/pytorch-fdn/ambassador-program/issues/370","https://github.com/pytorch-fdn/ambassador-program/issues/370")</f>
        <v>https://github.com/pytorch-fdn/ambassador-program/issues/370</v>
      </c>
      <c r="C21" s="26" t="s">
        <v>1387</v>
      </c>
      <c r="D21" s="26" t="s">
        <v>1388</v>
      </c>
      <c r="E21" s="26" t="s">
        <v>1389</v>
      </c>
      <c r="F21" s="26" t="s">
        <v>99</v>
      </c>
      <c r="G21" s="26" t="s">
        <v>100</v>
      </c>
      <c r="H21" s="26" t="s">
        <v>98</v>
      </c>
      <c r="I21" s="26" t="s">
        <v>100</v>
      </c>
      <c r="J21" s="26" t="s">
        <v>1390</v>
      </c>
      <c r="K21" s="26" t="s">
        <v>1391</v>
      </c>
      <c r="L21" s="26" t="s">
        <v>1392</v>
      </c>
      <c r="M21" s="26" t="s">
        <v>391</v>
      </c>
      <c r="N21" s="26" t="s">
        <v>100</v>
      </c>
      <c r="O21" s="26" t="s">
        <v>1393</v>
      </c>
      <c r="P21" s="26" t="s">
        <v>1395</v>
      </c>
      <c r="Q21" s="26" t="s">
        <v>1396</v>
      </c>
      <c r="R21" s="26" t="s">
        <v>1397</v>
      </c>
      <c r="S21" s="26" t="s">
        <v>399</v>
      </c>
      <c r="T21" s="26" t="s">
        <v>348</v>
      </c>
      <c r="U21" s="26" t="s">
        <v>1398</v>
      </c>
      <c r="V21" s="26" t="s">
        <v>1399</v>
      </c>
      <c r="W21" s="22">
        <v>2.0</v>
      </c>
      <c r="X21" s="22">
        <v>2.0</v>
      </c>
      <c r="Y21" s="22">
        <v>1.0</v>
      </c>
      <c r="Z21" s="22">
        <v>2.0</v>
      </c>
      <c r="AA21" s="22">
        <v>3.0</v>
      </c>
      <c r="AB21" s="22">
        <v>2.0</v>
      </c>
      <c r="AC21" s="22">
        <v>2.0</v>
      </c>
      <c r="AD21" s="22">
        <v>3.0</v>
      </c>
      <c r="AE21" s="28">
        <f t="shared" si="1"/>
        <v>17</v>
      </c>
      <c r="AF21" s="24" t="s">
        <v>303</v>
      </c>
      <c r="AG21" s="24" t="s">
        <v>1400</v>
      </c>
      <c r="AH21" s="29" t="str">
        <f t="shared" si="2"/>
        <v>Complete</v>
      </c>
    </row>
    <row r="22" ht="408.75" customHeight="1">
      <c r="A22" s="26">
        <v>366.0</v>
      </c>
      <c r="B22" s="27" t="str">
        <f>HYPERLINK("https://github.com/pytorch-fdn/ambassador-program/issues/366","https://github.com/pytorch-fdn/ambassador-program/issues/366")</f>
        <v>https://github.com/pytorch-fdn/ambassador-program/issues/366</v>
      </c>
      <c r="C22" s="26" t="s">
        <v>1402</v>
      </c>
      <c r="D22" s="26" t="s">
        <v>1403</v>
      </c>
      <c r="E22" s="26" t="s">
        <v>1404</v>
      </c>
      <c r="F22" s="26" t="s">
        <v>175</v>
      </c>
      <c r="G22" s="26" t="s">
        <v>1405</v>
      </c>
      <c r="H22" s="26" t="s">
        <v>103</v>
      </c>
      <c r="I22" s="26" t="s">
        <v>100</v>
      </c>
      <c r="J22" s="26" t="s">
        <v>1406</v>
      </c>
      <c r="K22" s="26" t="s">
        <v>100</v>
      </c>
      <c r="L22" s="26" t="s">
        <v>100</v>
      </c>
      <c r="M22" s="26" t="s">
        <v>106</v>
      </c>
      <c r="N22" s="26" t="s">
        <v>100</v>
      </c>
      <c r="O22" s="26" t="s">
        <v>1407</v>
      </c>
      <c r="P22" s="26" t="s">
        <v>1408</v>
      </c>
      <c r="Q22" s="26" t="s">
        <v>1409</v>
      </c>
      <c r="R22" s="26" t="s">
        <v>1410</v>
      </c>
      <c r="S22" s="26" t="s">
        <v>144</v>
      </c>
      <c r="T22" s="26" t="s">
        <v>115</v>
      </c>
      <c r="U22" s="26" t="s">
        <v>145</v>
      </c>
      <c r="V22" s="26" t="s">
        <v>1411</v>
      </c>
      <c r="W22" s="22">
        <v>1.0</v>
      </c>
      <c r="X22" s="22">
        <v>1.0</v>
      </c>
      <c r="Y22" s="22">
        <v>2.0</v>
      </c>
      <c r="Z22" s="22">
        <v>2.0</v>
      </c>
      <c r="AA22" s="22">
        <v>3.0</v>
      </c>
      <c r="AB22" s="22">
        <v>2.0</v>
      </c>
      <c r="AC22" s="22">
        <v>1.0</v>
      </c>
      <c r="AD22" s="22">
        <v>1.0</v>
      </c>
      <c r="AE22" s="28">
        <f t="shared" si="1"/>
        <v>13</v>
      </c>
      <c r="AF22" s="24" t="s">
        <v>124</v>
      </c>
      <c r="AG22" s="24" t="s">
        <v>1413</v>
      </c>
      <c r="AH22" s="29" t="str">
        <f t="shared" si="2"/>
        <v>Complete</v>
      </c>
    </row>
    <row r="23" ht="126.0" customHeight="1">
      <c r="A23" s="26">
        <v>365.0</v>
      </c>
      <c r="B23" s="27" t="str">
        <f>HYPERLINK("https://github.com/pytorch-fdn/ambassador-program/issues/365","https://github.com/pytorch-fdn/ambassador-program/issues/365")</f>
        <v>https://github.com/pytorch-fdn/ambassador-program/issues/365</v>
      </c>
      <c r="C23" s="26" t="s">
        <v>974</v>
      </c>
      <c r="D23" s="26" t="s">
        <v>975</v>
      </c>
      <c r="E23" s="26" t="s">
        <v>652</v>
      </c>
      <c r="F23" s="26" t="s">
        <v>261</v>
      </c>
      <c r="G23" s="26" t="s">
        <v>977</v>
      </c>
      <c r="H23" s="26" t="s">
        <v>103</v>
      </c>
      <c r="I23" s="26" t="s">
        <v>100</v>
      </c>
      <c r="J23" s="26" t="s">
        <v>981</v>
      </c>
      <c r="K23" s="26" t="s">
        <v>983</v>
      </c>
      <c r="L23" s="26" t="s">
        <v>100</v>
      </c>
      <c r="M23" s="26" t="s">
        <v>108</v>
      </c>
      <c r="N23" s="26" t="s">
        <v>100</v>
      </c>
      <c r="O23" s="26" t="s">
        <v>988</v>
      </c>
      <c r="P23" s="26" t="s">
        <v>991</v>
      </c>
      <c r="Q23" s="26" t="s">
        <v>992</v>
      </c>
      <c r="R23" s="26" t="s">
        <v>993</v>
      </c>
      <c r="S23" s="26" t="s">
        <v>995</v>
      </c>
      <c r="T23" s="26" t="s">
        <v>115</v>
      </c>
      <c r="U23" s="26" t="s">
        <v>420</v>
      </c>
      <c r="V23" s="26" t="s">
        <v>118</v>
      </c>
      <c r="W23" s="22">
        <v>1.0</v>
      </c>
      <c r="X23" s="22">
        <v>1.0</v>
      </c>
      <c r="Y23" s="22">
        <v>1.0</v>
      </c>
      <c r="Z23" s="22">
        <v>1.0</v>
      </c>
      <c r="AA23" s="22">
        <v>1.0</v>
      </c>
      <c r="AB23" s="22">
        <v>1.0</v>
      </c>
      <c r="AC23" s="22">
        <v>1.0</v>
      </c>
      <c r="AD23" s="22">
        <v>1.0</v>
      </c>
      <c r="AE23" s="28">
        <f t="shared" si="1"/>
        <v>8</v>
      </c>
      <c r="AF23" s="24" t="s">
        <v>124</v>
      </c>
      <c r="AG23" s="24" t="s">
        <v>1415</v>
      </c>
      <c r="AH23" s="29" t="str">
        <f t="shared" si="2"/>
        <v>Complete</v>
      </c>
    </row>
    <row r="24" ht="408.75" customHeight="1">
      <c r="A24" s="26">
        <v>362.0</v>
      </c>
      <c r="B24" s="27" t="str">
        <f>HYPERLINK("https://github.com/pytorch-fdn/ambassador-program/issues/362","https://github.com/pytorch-fdn/ambassador-program/issues/362")</f>
        <v>https://github.com/pytorch-fdn/ambassador-program/issues/362</v>
      </c>
      <c r="C24" s="26" t="s">
        <v>1420</v>
      </c>
      <c r="D24" s="26" t="s">
        <v>1421</v>
      </c>
      <c r="E24" s="26" t="s">
        <v>1422</v>
      </c>
      <c r="F24" s="26" t="s">
        <v>99</v>
      </c>
      <c r="G24" s="26" t="s">
        <v>1423</v>
      </c>
      <c r="H24" s="26" t="s">
        <v>103</v>
      </c>
      <c r="I24" s="26" t="s">
        <v>100</v>
      </c>
      <c r="J24" s="26" t="s">
        <v>1424</v>
      </c>
      <c r="K24" s="26" t="s">
        <v>100</v>
      </c>
      <c r="L24" s="26" t="s">
        <v>100</v>
      </c>
      <c r="M24" s="26" t="s">
        <v>294</v>
      </c>
      <c r="N24" s="26" t="s">
        <v>100</v>
      </c>
      <c r="O24" s="26" t="s">
        <v>632</v>
      </c>
      <c r="P24" s="26" t="s">
        <v>1427</v>
      </c>
      <c r="Q24" s="26" t="s">
        <v>1428</v>
      </c>
      <c r="R24" s="26" t="s">
        <v>1429</v>
      </c>
      <c r="S24" s="26" t="s">
        <v>616</v>
      </c>
      <c r="T24" s="26" t="s">
        <v>115</v>
      </c>
      <c r="U24" s="26" t="s">
        <v>145</v>
      </c>
      <c r="V24" s="26" t="s">
        <v>118</v>
      </c>
      <c r="W24" s="22">
        <v>1.0</v>
      </c>
      <c r="X24" s="22">
        <v>1.0</v>
      </c>
      <c r="Y24" s="22">
        <v>1.0</v>
      </c>
      <c r="Z24" s="22">
        <v>1.0</v>
      </c>
      <c r="AA24" s="22">
        <v>2.0</v>
      </c>
      <c r="AB24" s="22">
        <v>1.0</v>
      </c>
      <c r="AC24" s="22">
        <v>1.0</v>
      </c>
      <c r="AD24" s="22">
        <v>1.0</v>
      </c>
      <c r="AE24" s="28">
        <f t="shared" si="1"/>
        <v>9</v>
      </c>
      <c r="AF24" s="24" t="s">
        <v>124</v>
      </c>
      <c r="AG24" s="24" t="s">
        <v>1430</v>
      </c>
      <c r="AH24" s="29" t="str">
        <f t="shared" si="2"/>
        <v>Complete</v>
      </c>
    </row>
    <row r="25" ht="360.0" customHeight="1">
      <c r="A25" s="26">
        <v>358.0</v>
      </c>
      <c r="B25" s="27" t="str">
        <f>HYPERLINK("https://github.com/pytorch-fdn/ambassador-program/issues/358","https://github.com/pytorch-fdn/ambassador-program/issues/358")</f>
        <v>https://github.com/pytorch-fdn/ambassador-program/issues/358</v>
      </c>
      <c r="C25" s="26" t="s">
        <v>1431</v>
      </c>
      <c r="D25" s="26" t="s">
        <v>1432</v>
      </c>
      <c r="E25" s="26" t="s">
        <v>560</v>
      </c>
      <c r="F25" s="26" t="s">
        <v>95</v>
      </c>
      <c r="G25" s="26" t="s">
        <v>1436</v>
      </c>
      <c r="H25" s="26" t="s">
        <v>103</v>
      </c>
      <c r="I25" s="26" t="s">
        <v>100</v>
      </c>
      <c r="J25" s="26" t="s">
        <v>1438</v>
      </c>
      <c r="K25" s="26" t="s">
        <v>100</v>
      </c>
      <c r="L25" s="26" t="s">
        <v>100</v>
      </c>
      <c r="M25" s="26" t="s">
        <v>273</v>
      </c>
      <c r="N25" s="26" t="s">
        <v>100</v>
      </c>
      <c r="O25" s="26" t="s">
        <v>1440</v>
      </c>
      <c r="P25" s="26" t="s">
        <v>1443</v>
      </c>
      <c r="Q25" s="26" t="s">
        <v>1444</v>
      </c>
      <c r="R25" s="26" t="s">
        <v>1446</v>
      </c>
      <c r="S25" s="26" t="s">
        <v>1448</v>
      </c>
      <c r="T25" s="26" t="s">
        <v>115</v>
      </c>
      <c r="U25" s="26" t="s">
        <v>247</v>
      </c>
      <c r="V25" s="26" t="s">
        <v>118</v>
      </c>
      <c r="W25" s="22">
        <v>2.0</v>
      </c>
      <c r="X25" s="22">
        <v>2.0</v>
      </c>
      <c r="Y25" s="22">
        <v>3.0</v>
      </c>
      <c r="Z25" s="22">
        <v>3.0</v>
      </c>
      <c r="AA25" s="22">
        <v>3.0</v>
      </c>
      <c r="AB25" s="22">
        <v>3.0</v>
      </c>
      <c r="AC25" s="22">
        <v>2.0</v>
      </c>
      <c r="AD25" s="22">
        <v>2.0</v>
      </c>
      <c r="AE25" s="28">
        <f t="shared" si="1"/>
        <v>20</v>
      </c>
      <c r="AF25" s="24" t="s">
        <v>303</v>
      </c>
      <c r="AG25" s="24" t="s">
        <v>1451</v>
      </c>
      <c r="AH25" s="29" t="str">
        <f t="shared" si="2"/>
        <v>Complete</v>
      </c>
    </row>
    <row r="26" ht="126.0" customHeight="1">
      <c r="A26" s="26">
        <v>335.0</v>
      </c>
      <c r="B26" s="27" t="str">
        <f>HYPERLINK("https://github.com/pytorch-fdn/ambassador-program/issues/335","https://github.com/pytorch-fdn/ambassador-program/issues/335")</f>
        <v>https://github.com/pytorch-fdn/ambassador-program/issues/335</v>
      </c>
      <c r="C26" s="26" t="s">
        <v>1459</v>
      </c>
      <c r="D26" s="26" t="s">
        <v>1460</v>
      </c>
      <c r="E26" s="26" t="s">
        <v>685</v>
      </c>
      <c r="F26" s="26" t="s">
        <v>175</v>
      </c>
      <c r="G26" s="26" t="s">
        <v>1461</v>
      </c>
      <c r="H26" s="26" t="s">
        <v>103</v>
      </c>
      <c r="I26" s="26" t="s">
        <v>100</v>
      </c>
      <c r="J26" s="26" t="s">
        <v>1462</v>
      </c>
      <c r="K26" s="26" t="s">
        <v>100</v>
      </c>
      <c r="L26" s="26" t="s">
        <v>100</v>
      </c>
      <c r="M26" s="26" t="s">
        <v>162</v>
      </c>
      <c r="N26" s="26" t="s">
        <v>100</v>
      </c>
      <c r="O26" s="26" t="s">
        <v>1465</v>
      </c>
      <c r="P26" s="26" t="s">
        <v>1468</v>
      </c>
      <c r="Q26" s="26" t="s">
        <v>1470</v>
      </c>
      <c r="R26" s="26" t="s">
        <v>1471</v>
      </c>
      <c r="S26" s="26" t="s">
        <v>1113</v>
      </c>
      <c r="T26" s="26" t="s">
        <v>115</v>
      </c>
      <c r="U26" s="26" t="s">
        <v>685</v>
      </c>
      <c r="V26" s="26" t="s">
        <v>118</v>
      </c>
      <c r="W26" s="22">
        <v>1.0</v>
      </c>
      <c r="X26" s="22">
        <v>1.0</v>
      </c>
      <c r="Y26" s="22">
        <v>1.0</v>
      </c>
      <c r="Z26" s="22">
        <v>1.0</v>
      </c>
      <c r="AA26" s="22">
        <v>1.0</v>
      </c>
      <c r="AB26" s="22">
        <v>1.0</v>
      </c>
      <c r="AC26" s="22">
        <v>1.0</v>
      </c>
      <c r="AD26" s="22">
        <v>1.0</v>
      </c>
      <c r="AE26" s="28">
        <f t="shared" si="1"/>
        <v>8</v>
      </c>
      <c r="AF26" s="24" t="s">
        <v>124</v>
      </c>
      <c r="AG26" s="24" t="s">
        <v>1483</v>
      </c>
      <c r="AH26" s="29" t="str">
        <f t="shared" si="2"/>
        <v>Complete</v>
      </c>
    </row>
    <row r="27" ht="240.0" customHeight="1">
      <c r="A27" s="26">
        <v>330.0</v>
      </c>
      <c r="B27" s="27" t="str">
        <f>HYPERLINK("https://github.com/pytorch-fdn/ambassador-program/issues/330","https://github.com/pytorch-fdn/ambassador-program/issues/330")</f>
        <v>https://github.com/pytorch-fdn/ambassador-program/issues/330</v>
      </c>
      <c r="C27" s="26" t="s">
        <v>1484</v>
      </c>
      <c r="D27" s="26" t="s">
        <v>1485</v>
      </c>
      <c r="E27" s="26" t="s">
        <v>1486</v>
      </c>
      <c r="F27" s="26" t="s">
        <v>95</v>
      </c>
      <c r="G27" s="26" t="s">
        <v>1488</v>
      </c>
      <c r="H27" s="26" t="s">
        <v>103</v>
      </c>
      <c r="I27" s="26" t="s">
        <v>100</v>
      </c>
      <c r="J27" s="26" t="s">
        <v>1489</v>
      </c>
      <c r="K27" s="26" t="s">
        <v>100</v>
      </c>
      <c r="L27" s="26" t="s">
        <v>100</v>
      </c>
      <c r="M27" s="26" t="s">
        <v>334</v>
      </c>
      <c r="N27" s="26" t="s">
        <v>1490</v>
      </c>
      <c r="O27" s="26" t="s">
        <v>107</v>
      </c>
      <c r="P27" s="26" t="s">
        <v>1491</v>
      </c>
      <c r="Q27" s="26" t="s">
        <v>1492</v>
      </c>
      <c r="R27" s="26" t="s">
        <v>1493</v>
      </c>
      <c r="S27" s="26" t="s">
        <v>1494</v>
      </c>
      <c r="T27" s="26" t="s">
        <v>121</v>
      </c>
      <c r="U27" s="26" t="s">
        <v>1495</v>
      </c>
      <c r="V27" s="26" t="s">
        <v>1496</v>
      </c>
      <c r="W27" s="22">
        <v>2.0</v>
      </c>
      <c r="X27" s="22">
        <v>2.0</v>
      </c>
      <c r="Y27" s="22">
        <v>3.0</v>
      </c>
      <c r="Z27" s="22">
        <v>3.0</v>
      </c>
      <c r="AA27" s="22">
        <v>2.0</v>
      </c>
      <c r="AB27" s="22">
        <v>3.0</v>
      </c>
      <c r="AC27" s="22">
        <v>3.0</v>
      </c>
      <c r="AD27" s="22">
        <v>3.0</v>
      </c>
      <c r="AE27" s="28">
        <f t="shared" si="1"/>
        <v>21</v>
      </c>
      <c r="AF27" s="24" t="s">
        <v>303</v>
      </c>
      <c r="AG27" s="24" t="s">
        <v>1502</v>
      </c>
      <c r="AH27" s="29" t="str">
        <f t="shared" si="2"/>
        <v>Complete</v>
      </c>
    </row>
    <row r="28" ht="408.75" customHeight="1">
      <c r="A28" s="26">
        <v>327.0</v>
      </c>
      <c r="B28" s="27" t="str">
        <f>HYPERLINK("https://github.com/pytorch-fdn/ambassador-program/issues/327","https://github.com/pytorch-fdn/ambassador-program/issues/327")</f>
        <v>https://github.com/pytorch-fdn/ambassador-program/issues/327</v>
      </c>
      <c r="C28" s="26" t="s">
        <v>1504</v>
      </c>
      <c r="D28" s="26" t="s">
        <v>1505</v>
      </c>
      <c r="E28" s="26" t="s">
        <v>1506</v>
      </c>
      <c r="F28" s="26" t="s">
        <v>261</v>
      </c>
      <c r="G28" s="26" t="s">
        <v>1508</v>
      </c>
      <c r="H28" s="26" t="s">
        <v>98</v>
      </c>
      <c r="I28" s="26" t="s">
        <v>100</v>
      </c>
      <c r="J28" s="26" t="s">
        <v>1509</v>
      </c>
      <c r="K28" s="26" t="s">
        <v>1510</v>
      </c>
      <c r="L28" s="26" t="s">
        <v>1511</v>
      </c>
      <c r="M28" s="26" t="s">
        <v>273</v>
      </c>
      <c r="N28" s="26" t="s">
        <v>100</v>
      </c>
      <c r="O28" s="26" t="s">
        <v>1513</v>
      </c>
      <c r="P28" s="26" t="s">
        <v>1516</v>
      </c>
      <c r="Q28" s="26" t="s">
        <v>1517</v>
      </c>
      <c r="R28" s="26" t="s">
        <v>1518</v>
      </c>
      <c r="S28" s="26" t="s">
        <v>1180</v>
      </c>
      <c r="T28" s="26" t="s">
        <v>121</v>
      </c>
      <c r="U28" s="26" t="s">
        <v>255</v>
      </c>
      <c r="V28" s="26" t="s">
        <v>1519</v>
      </c>
      <c r="W28" s="22">
        <v>3.0</v>
      </c>
      <c r="X28" s="22">
        <v>3.0</v>
      </c>
      <c r="Y28" s="22">
        <v>4.0</v>
      </c>
      <c r="Z28" s="22">
        <v>4.0</v>
      </c>
      <c r="AA28" s="22">
        <v>4.0</v>
      </c>
      <c r="AB28" s="22">
        <v>4.0</v>
      </c>
      <c r="AC28" s="22">
        <v>4.0</v>
      </c>
      <c r="AD28" s="22">
        <v>3.0</v>
      </c>
      <c r="AE28" s="28">
        <f t="shared" si="1"/>
        <v>29</v>
      </c>
      <c r="AF28" s="24" t="s">
        <v>195</v>
      </c>
      <c r="AG28" s="36" t="s">
        <v>1520</v>
      </c>
      <c r="AH28" s="29" t="str">
        <f t="shared" si="2"/>
        <v>Complete</v>
      </c>
    </row>
    <row r="29" ht="408.75" customHeight="1">
      <c r="A29" s="32">
        <v>324.0</v>
      </c>
      <c r="B29" s="33" t="str">
        <f>HYPERLINK("https://github.com/pytorch-fdn/ambassador-program/issues/324","https://github.com/pytorch-fdn/ambassador-program/issues/324")</f>
        <v>https://github.com/pytorch-fdn/ambassador-program/issues/324</v>
      </c>
      <c r="C29" s="32" t="s">
        <v>1064</v>
      </c>
      <c r="D29" s="32" t="s">
        <v>1065</v>
      </c>
      <c r="E29" s="32" t="s">
        <v>1067</v>
      </c>
      <c r="F29" s="32" t="s">
        <v>95</v>
      </c>
      <c r="G29" s="32" t="s">
        <v>1069</v>
      </c>
      <c r="H29" s="32" t="s">
        <v>103</v>
      </c>
      <c r="I29" s="32" t="s">
        <v>100</v>
      </c>
      <c r="J29" s="32" t="s">
        <v>1070</v>
      </c>
      <c r="K29" s="32" t="s">
        <v>100</v>
      </c>
      <c r="L29" s="32" t="s">
        <v>1071</v>
      </c>
      <c r="M29" s="32"/>
      <c r="N29" s="32" t="s">
        <v>1072</v>
      </c>
      <c r="O29" s="32" t="s">
        <v>107</v>
      </c>
      <c r="P29" s="32" t="s">
        <v>1074</v>
      </c>
      <c r="Q29" s="32" t="s">
        <v>1075</v>
      </c>
      <c r="R29" s="32" t="s">
        <v>1076</v>
      </c>
      <c r="S29" s="32" t="s">
        <v>254</v>
      </c>
      <c r="T29" s="32" t="s">
        <v>121</v>
      </c>
      <c r="U29" s="32" t="s">
        <v>255</v>
      </c>
      <c r="V29" s="32" t="s">
        <v>1078</v>
      </c>
      <c r="W29" s="22">
        <v>4.0</v>
      </c>
      <c r="X29" s="22">
        <v>3.0</v>
      </c>
      <c r="Y29" s="22">
        <v>4.0</v>
      </c>
      <c r="Z29" s="22">
        <v>3.0</v>
      </c>
      <c r="AA29" s="22">
        <v>3.0</v>
      </c>
      <c r="AB29" s="22">
        <v>3.0</v>
      </c>
      <c r="AC29" s="22">
        <v>4.0</v>
      </c>
      <c r="AD29" s="22">
        <v>4.0</v>
      </c>
      <c r="AE29" s="34">
        <f t="shared" si="1"/>
        <v>28</v>
      </c>
      <c r="AF29" s="24" t="s">
        <v>195</v>
      </c>
      <c r="AG29" s="36" t="s">
        <v>1541</v>
      </c>
      <c r="AH29" s="35" t="str">
        <f t="shared" si="2"/>
        <v>Complete</v>
      </c>
    </row>
    <row r="30" ht="15.75" customHeight="1">
      <c r="AG30" s="4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1181</v>
      </c>
    </row>
    <row r="2" ht="27.75" customHeight="1">
      <c r="A2" s="2" t="s">
        <v>51</v>
      </c>
    </row>
    <row r="3">
      <c r="A3" s="14" t="s">
        <v>53</v>
      </c>
      <c r="W3" s="15" t="s">
        <v>54</v>
      </c>
    </row>
    <row r="4" ht="90.0"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6" t="s">
        <v>85</v>
      </c>
      <c r="AE4" s="19" t="s">
        <v>86</v>
      </c>
      <c r="AF4" s="16" t="s">
        <v>87</v>
      </c>
      <c r="AG4" s="16" t="s">
        <v>88</v>
      </c>
      <c r="AH4" s="19" t="s">
        <v>89</v>
      </c>
    </row>
    <row r="5" ht="264.0" customHeight="1">
      <c r="A5" s="20">
        <v>479.0</v>
      </c>
      <c r="B5" s="21" t="str">
        <f>HYPERLINK("https://github.com/pytorch-fdn/ambassador-program/issues/479","https://github.com/pytorch-fdn/ambassador-program/issues/479")</f>
        <v>https://github.com/pytorch-fdn/ambassador-program/issues/479</v>
      </c>
      <c r="C5" s="20" t="s">
        <v>91</v>
      </c>
      <c r="D5" s="20" t="s">
        <v>94</v>
      </c>
      <c r="E5" s="20" t="s">
        <v>96</v>
      </c>
      <c r="F5" s="20" t="s">
        <v>99</v>
      </c>
      <c r="G5" s="20" t="s">
        <v>102</v>
      </c>
      <c r="H5" s="20" t="s">
        <v>103</v>
      </c>
      <c r="I5" s="20" t="s">
        <v>105</v>
      </c>
      <c r="J5" s="20" t="s">
        <v>100</v>
      </c>
      <c r="K5" s="20" t="s">
        <v>100</v>
      </c>
      <c r="L5" s="20" t="s">
        <v>100</v>
      </c>
      <c r="M5" s="20" t="s">
        <v>108</v>
      </c>
      <c r="N5" s="20" t="s">
        <v>100</v>
      </c>
      <c r="O5" s="20" t="s">
        <v>109</v>
      </c>
      <c r="P5" s="20" t="s">
        <v>110</v>
      </c>
      <c r="Q5" s="20" t="s">
        <v>111</v>
      </c>
      <c r="R5" s="20" t="s">
        <v>113</v>
      </c>
      <c r="S5" s="20" t="s">
        <v>114</v>
      </c>
      <c r="T5" s="20" t="s">
        <v>115</v>
      </c>
      <c r="U5" s="20" t="s">
        <v>117</v>
      </c>
      <c r="V5" s="20" t="s">
        <v>118</v>
      </c>
      <c r="W5" s="37">
        <v>2.0</v>
      </c>
      <c r="X5" s="37">
        <v>2.0</v>
      </c>
      <c r="Y5" s="37">
        <v>2.0</v>
      </c>
      <c r="Z5" s="37">
        <v>2.0</v>
      </c>
      <c r="AA5" s="37">
        <v>3.0</v>
      </c>
      <c r="AB5" s="37">
        <v>3.0</v>
      </c>
      <c r="AC5" s="37">
        <v>2.0</v>
      </c>
      <c r="AD5" s="37">
        <v>2.0</v>
      </c>
      <c r="AE5" s="23">
        <f t="shared" ref="AE5:AE29" si="1">IF(COUNT(W5:AD5)=8,SUM(W5:AD5),"")</f>
        <v>18</v>
      </c>
      <c r="AF5" s="38" t="s">
        <v>303</v>
      </c>
      <c r="AG5" s="39" t="s">
        <v>1210</v>
      </c>
      <c r="AH5" s="25" t="str">
        <f t="shared" ref="AH5:AH29" si="2">IF(AND(COUNT(W5:AD5)=0,AF5="",AG5=""),"Not Started",IF(AF5="Abstain (Conflict of Interest)",IF(AG5&lt;&gt;"","Reassignment Required","Add Conflict Note"),IF(AND(COUNT(W5:AD5)=8,AF5&lt;&gt;"",AG5&lt;&gt;""),"Complete","In Progress")))</f>
        <v>Complete</v>
      </c>
    </row>
    <row r="6" ht="126.0" customHeight="1">
      <c r="A6" s="26">
        <v>476.0</v>
      </c>
      <c r="B6" s="27" t="str">
        <f>HYPERLINK("https://github.com/pytorch-fdn/ambassador-program/issues/476","https://github.com/pytorch-fdn/ambassador-program/issues/476")</f>
        <v>https://github.com/pytorch-fdn/ambassador-program/issues/476</v>
      </c>
      <c r="C6" s="26" t="s">
        <v>1103</v>
      </c>
      <c r="D6" s="26" t="s">
        <v>1104</v>
      </c>
      <c r="E6" s="26" t="s">
        <v>1105</v>
      </c>
      <c r="F6" s="26" t="s">
        <v>99</v>
      </c>
      <c r="G6" s="26" t="s">
        <v>1106</v>
      </c>
      <c r="H6" s="26" t="s">
        <v>103</v>
      </c>
      <c r="I6" s="26" t="s">
        <v>100</v>
      </c>
      <c r="J6" s="26" t="s">
        <v>1107</v>
      </c>
      <c r="K6" s="26" t="s">
        <v>1108</v>
      </c>
      <c r="L6" s="26" t="s">
        <v>100</v>
      </c>
      <c r="M6" s="26" t="s">
        <v>325</v>
      </c>
      <c r="N6" s="26" t="s">
        <v>100</v>
      </c>
      <c r="O6" s="26" t="s">
        <v>1109</v>
      </c>
      <c r="P6" s="26" t="s">
        <v>1110</v>
      </c>
      <c r="Q6" s="26" t="s">
        <v>1111</v>
      </c>
      <c r="R6" s="26" t="s">
        <v>1112</v>
      </c>
      <c r="S6" s="26" t="s">
        <v>1113</v>
      </c>
      <c r="T6" s="26" t="s">
        <v>115</v>
      </c>
      <c r="U6" s="26" t="s">
        <v>145</v>
      </c>
      <c r="V6" s="26" t="s">
        <v>118</v>
      </c>
      <c r="W6" s="40">
        <v>1.0</v>
      </c>
      <c r="X6" s="40">
        <v>1.0</v>
      </c>
      <c r="Y6" s="40">
        <v>1.0</v>
      </c>
      <c r="Z6" s="40">
        <v>1.0</v>
      </c>
      <c r="AA6" s="40">
        <v>1.0</v>
      </c>
      <c r="AB6" s="40">
        <v>1.0</v>
      </c>
      <c r="AC6" s="40">
        <v>1.0</v>
      </c>
      <c r="AD6" s="40">
        <v>1.0</v>
      </c>
      <c r="AE6" s="28">
        <f t="shared" si="1"/>
        <v>8</v>
      </c>
      <c r="AF6" s="38" t="s">
        <v>124</v>
      </c>
      <c r="AG6" s="39" t="s">
        <v>1229</v>
      </c>
      <c r="AH6" s="29" t="str">
        <f t="shared" si="2"/>
        <v>Complete</v>
      </c>
    </row>
    <row r="7" ht="360.0" customHeight="1">
      <c r="A7" s="26">
        <v>462.0</v>
      </c>
      <c r="B7" s="27" t="str">
        <f>HYPERLINK("https://github.com/pytorch-fdn/ambassador-program/issues/462","https://github.com/pytorch-fdn/ambassador-program/issues/462")</f>
        <v>https://github.com/pytorch-fdn/ambassador-program/issues/462</v>
      </c>
      <c r="C7" s="26" t="s">
        <v>225</v>
      </c>
      <c r="D7" s="26" t="s">
        <v>227</v>
      </c>
      <c r="E7" s="26" t="s">
        <v>228</v>
      </c>
      <c r="F7" s="26" t="s">
        <v>99</v>
      </c>
      <c r="G7" s="26" t="s">
        <v>231</v>
      </c>
      <c r="H7" s="26" t="s">
        <v>103</v>
      </c>
      <c r="I7" s="26" t="s">
        <v>100</v>
      </c>
      <c r="J7" s="26" t="s">
        <v>233</v>
      </c>
      <c r="K7" s="26" t="s">
        <v>234</v>
      </c>
      <c r="L7" s="26" t="s">
        <v>100</v>
      </c>
      <c r="M7" s="26" t="s">
        <v>108</v>
      </c>
      <c r="N7" s="26" t="s">
        <v>100</v>
      </c>
      <c r="O7" s="26" t="s">
        <v>238</v>
      </c>
      <c r="P7" s="26" t="s">
        <v>241</v>
      </c>
      <c r="Q7" s="26" t="s">
        <v>243</v>
      </c>
      <c r="R7" s="26" t="s">
        <v>245</v>
      </c>
      <c r="S7" s="26" t="s">
        <v>246</v>
      </c>
      <c r="T7" s="26" t="s">
        <v>115</v>
      </c>
      <c r="U7" s="26" t="s">
        <v>247</v>
      </c>
      <c r="V7" s="26" t="s">
        <v>248</v>
      </c>
      <c r="W7" s="37">
        <v>2.0</v>
      </c>
      <c r="X7" s="37">
        <v>2.0</v>
      </c>
      <c r="Y7" s="37">
        <v>3.0</v>
      </c>
      <c r="Z7" s="37">
        <v>3.0</v>
      </c>
      <c r="AA7" s="37">
        <v>3.0</v>
      </c>
      <c r="AB7" s="37">
        <v>3.0</v>
      </c>
      <c r="AC7" s="37">
        <v>3.0</v>
      </c>
      <c r="AD7" s="37">
        <v>3.0</v>
      </c>
      <c r="AE7" s="28">
        <f t="shared" si="1"/>
        <v>22</v>
      </c>
      <c r="AF7" s="38" t="s">
        <v>303</v>
      </c>
      <c r="AG7" s="39" t="s">
        <v>1272</v>
      </c>
      <c r="AH7" s="29" t="str">
        <f t="shared" si="2"/>
        <v>Complete</v>
      </c>
    </row>
    <row r="8" ht="156.0" customHeight="1">
      <c r="A8" s="26">
        <v>452.0</v>
      </c>
      <c r="B8" s="27" t="str">
        <f>HYPERLINK("https://github.com/pytorch-fdn/ambassador-program/issues/452","https://github.com/pytorch-fdn/ambassador-program/issues/452")</f>
        <v>https://github.com/pytorch-fdn/ambassador-program/issues/452</v>
      </c>
      <c r="C8" s="26" t="s">
        <v>1284</v>
      </c>
      <c r="D8" s="26" t="s">
        <v>1287</v>
      </c>
      <c r="E8" s="26" t="s">
        <v>1288</v>
      </c>
      <c r="F8" s="26" t="s">
        <v>175</v>
      </c>
      <c r="G8" s="26" t="s">
        <v>1289</v>
      </c>
      <c r="H8" s="26" t="s">
        <v>103</v>
      </c>
      <c r="I8" s="26" t="s">
        <v>1290</v>
      </c>
      <c r="J8" s="26" t="s">
        <v>1291</v>
      </c>
      <c r="K8" s="26" t="s">
        <v>1292</v>
      </c>
      <c r="L8" s="26" t="s">
        <v>100</v>
      </c>
      <c r="M8" s="26" t="s">
        <v>334</v>
      </c>
      <c r="N8" s="26" t="s">
        <v>1294</v>
      </c>
      <c r="O8" s="26" t="s">
        <v>1296</v>
      </c>
      <c r="P8" s="26" t="s">
        <v>1299</v>
      </c>
      <c r="Q8" s="26" t="s">
        <v>1300</v>
      </c>
      <c r="R8" s="26" t="s">
        <v>1302</v>
      </c>
      <c r="S8" s="26" t="s">
        <v>1304</v>
      </c>
      <c r="T8" s="26" t="s">
        <v>115</v>
      </c>
      <c r="U8" s="26" t="s">
        <v>145</v>
      </c>
      <c r="V8" s="26" t="s">
        <v>1306</v>
      </c>
      <c r="W8" s="40">
        <v>5.0</v>
      </c>
      <c r="X8" s="40">
        <v>4.0</v>
      </c>
      <c r="Y8" s="40">
        <v>2.0</v>
      </c>
      <c r="Z8" s="40">
        <v>2.0</v>
      </c>
      <c r="AA8" s="40">
        <v>4.0</v>
      </c>
      <c r="AB8" s="40">
        <v>4.0</v>
      </c>
      <c r="AC8" s="40">
        <v>3.0</v>
      </c>
      <c r="AD8" s="40">
        <v>4.0</v>
      </c>
      <c r="AE8" s="28">
        <f t="shared" si="1"/>
        <v>28</v>
      </c>
      <c r="AF8" s="38" t="s">
        <v>195</v>
      </c>
      <c r="AG8" s="39" t="s">
        <v>1315</v>
      </c>
      <c r="AH8" s="29" t="str">
        <f t="shared" si="2"/>
        <v>Complete</v>
      </c>
    </row>
    <row r="9" ht="408.75" customHeight="1">
      <c r="A9" s="26">
        <v>449.0</v>
      </c>
      <c r="B9" s="27" t="str">
        <f>HYPERLINK("https://github.com/pytorch-fdn/ambassador-program/issues/449","https://github.com/pytorch-fdn/ambassador-program/issues/449")</f>
        <v>https://github.com/pytorch-fdn/ambassador-program/issues/449</v>
      </c>
      <c r="C9" s="26" t="s">
        <v>287</v>
      </c>
      <c r="D9" s="26" t="s">
        <v>288</v>
      </c>
      <c r="E9" s="26" t="s">
        <v>290</v>
      </c>
      <c r="F9" s="26" t="s">
        <v>99</v>
      </c>
      <c r="G9" s="26" t="s">
        <v>292</v>
      </c>
      <c r="H9" s="26" t="s">
        <v>103</v>
      </c>
      <c r="I9" s="26" t="s">
        <v>100</v>
      </c>
      <c r="J9" s="26" t="s">
        <v>293</v>
      </c>
      <c r="K9" s="26" t="s">
        <v>100</v>
      </c>
      <c r="L9" s="26" t="s">
        <v>100</v>
      </c>
      <c r="M9" s="26" t="s">
        <v>294</v>
      </c>
      <c r="N9" s="26" t="s">
        <v>100</v>
      </c>
      <c r="O9" s="26" t="s">
        <v>296</v>
      </c>
      <c r="P9" s="26" t="s">
        <v>297</v>
      </c>
      <c r="Q9" s="26" t="s">
        <v>298</v>
      </c>
      <c r="R9" s="26" t="s">
        <v>300</v>
      </c>
      <c r="S9" s="26" t="s">
        <v>301</v>
      </c>
      <c r="T9" s="26" t="s">
        <v>115</v>
      </c>
      <c r="U9" s="26" t="s">
        <v>117</v>
      </c>
      <c r="V9" s="26" t="s">
        <v>302</v>
      </c>
      <c r="W9" s="37">
        <v>3.0</v>
      </c>
      <c r="X9" s="37">
        <v>3.0</v>
      </c>
      <c r="Y9" s="37">
        <v>2.0</v>
      </c>
      <c r="Z9" s="37">
        <v>2.0</v>
      </c>
      <c r="AA9" s="37">
        <v>5.0</v>
      </c>
      <c r="AB9" s="37">
        <v>4.0</v>
      </c>
      <c r="AC9" s="37">
        <v>3.0</v>
      </c>
      <c r="AD9" s="37">
        <v>3.0</v>
      </c>
      <c r="AE9" s="28">
        <f t="shared" si="1"/>
        <v>25</v>
      </c>
      <c r="AF9" s="38" t="s">
        <v>195</v>
      </c>
      <c r="AG9" s="39" t="s">
        <v>1343</v>
      </c>
      <c r="AH9" s="29" t="str">
        <f t="shared" si="2"/>
        <v>Complete</v>
      </c>
    </row>
    <row r="10" ht="408.75" customHeight="1">
      <c r="A10" s="26">
        <v>439.0</v>
      </c>
      <c r="B10" s="27" t="str">
        <f>HYPERLINK("https://github.com/pytorch-fdn/ambassador-program/issues/439","https://github.com/pytorch-fdn/ambassador-program/issues/439")</f>
        <v>https://github.com/pytorch-fdn/ambassador-program/issues/439</v>
      </c>
      <c r="C10" s="26" t="s">
        <v>1345</v>
      </c>
      <c r="D10" s="26" t="s">
        <v>1346</v>
      </c>
      <c r="E10" s="26" t="s">
        <v>1347</v>
      </c>
      <c r="F10" s="26" t="s">
        <v>95</v>
      </c>
      <c r="G10" s="26" t="s">
        <v>1348</v>
      </c>
      <c r="H10" s="26" t="s">
        <v>103</v>
      </c>
      <c r="I10" s="26" t="s">
        <v>100</v>
      </c>
      <c r="J10" s="26" t="s">
        <v>1350</v>
      </c>
      <c r="K10" s="26" t="s">
        <v>1351</v>
      </c>
      <c r="L10" s="26" t="s">
        <v>100</v>
      </c>
      <c r="M10" s="26" t="s">
        <v>1328</v>
      </c>
      <c r="N10" s="26" t="s">
        <v>100</v>
      </c>
      <c r="O10" s="26" t="s">
        <v>134</v>
      </c>
      <c r="P10" s="26" t="s">
        <v>1358</v>
      </c>
      <c r="Q10" s="26" t="s">
        <v>1363</v>
      </c>
      <c r="R10" s="26" t="s">
        <v>1369</v>
      </c>
      <c r="S10" s="26" t="s">
        <v>144</v>
      </c>
      <c r="T10" s="26" t="s">
        <v>115</v>
      </c>
      <c r="U10" s="26" t="s">
        <v>145</v>
      </c>
      <c r="V10" s="26" t="s">
        <v>1371</v>
      </c>
      <c r="W10" s="40">
        <v>4.0</v>
      </c>
      <c r="X10" s="40">
        <v>4.0</v>
      </c>
      <c r="Y10" s="40">
        <v>4.0</v>
      </c>
      <c r="Z10" s="40">
        <v>4.0</v>
      </c>
      <c r="AA10" s="40">
        <v>4.0</v>
      </c>
      <c r="AB10" s="40">
        <v>4.0</v>
      </c>
      <c r="AC10" s="40">
        <v>4.0</v>
      </c>
      <c r="AD10" s="40">
        <v>4.0</v>
      </c>
      <c r="AE10" s="28">
        <f t="shared" si="1"/>
        <v>32</v>
      </c>
      <c r="AF10" s="38" t="s">
        <v>1375</v>
      </c>
      <c r="AG10" s="39" t="s">
        <v>1376</v>
      </c>
      <c r="AH10" s="29" t="str">
        <f t="shared" si="2"/>
        <v>Complete</v>
      </c>
    </row>
    <row r="11" ht="348.0" customHeight="1">
      <c r="A11" s="26">
        <v>431.0</v>
      </c>
      <c r="B11" s="27" t="str">
        <f>HYPERLINK("https://github.com/pytorch-fdn/ambassador-program/issues/431","https://github.com/pytorch-fdn/ambassador-program/issues/431")</f>
        <v>https://github.com/pytorch-fdn/ambassador-program/issues/431</v>
      </c>
      <c r="C11" s="26" t="s">
        <v>574</v>
      </c>
      <c r="D11" s="26" t="s">
        <v>576</v>
      </c>
      <c r="E11" s="26" t="s">
        <v>579</v>
      </c>
      <c r="F11" s="26" t="s">
        <v>261</v>
      </c>
      <c r="G11" s="26" t="s">
        <v>580</v>
      </c>
      <c r="H11" s="26" t="s">
        <v>103</v>
      </c>
      <c r="I11" s="26" t="s">
        <v>100</v>
      </c>
      <c r="J11" s="26" t="s">
        <v>582</v>
      </c>
      <c r="K11" s="26" t="s">
        <v>100</v>
      </c>
      <c r="L11" s="26" t="s">
        <v>100</v>
      </c>
      <c r="M11" s="26" t="s">
        <v>162</v>
      </c>
      <c r="N11" s="26" t="s">
        <v>100</v>
      </c>
      <c r="O11" s="26" t="s">
        <v>279</v>
      </c>
      <c r="P11" s="26" t="s">
        <v>588</v>
      </c>
      <c r="Q11" s="26" t="s">
        <v>589</v>
      </c>
      <c r="R11" s="26" t="s">
        <v>591</v>
      </c>
      <c r="S11" s="26" t="s">
        <v>592</v>
      </c>
      <c r="T11" s="26" t="s">
        <v>348</v>
      </c>
      <c r="U11" s="26" t="s">
        <v>593</v>
      </c>
      <c r="V11" s="26" t="s">
        <v>594</v>
      </c>
      <c r="W11" s="37">
        <v>3.0</v>
      </c>
      <c r="X11" s="37">
        <v>3.0</v>
      </c>
      <c r="Y11" s="37">
        <v>4.0</v>
      </c>
      <c r="Z11" s="37">
        <v>4.0</v>
      </c>
      <c r="AA11" s="37">
        <v>3.0</v>
      </c>
      <c r="AB11" s="37">
        <v>4.0</v>
      </c>
      <c r="AC11" s="37">
        <v>3.0</v>
      </c>
      <c r="AD11" s="37">
        <v>4.0</v>
      </c>
      <c r="AE11" s="28">
        <f t="shared" si="1"/>
        <v>28</v>
      </c>
      <c r="AF11" s="38" t="s">
        <v>195</v>
      </c>
      <c r="AG11" s="39" t="s">
        <v>1394</v>
      </c>
      <c r="AH11" s="29" t="str">
        <f t="shared" si="2"/>
        <v>Complete</v>
      </c>
    </row>
    <row r="12" ht="408.75" customHeight="1">
      <c r="A12" s="26">
        <v>430.0</v>
      </c>
      <c r="B12" s="27" t="str">
        <f>HYPERLINK("https://github.com/pytorch-fdn/ambassador-program/issues/430","https://github.com/pytorch-fdn/ambassador-program/issues/430")</f>
        <v>https://github.com/pytorch-fdn/ambassador-program/issues/430</v>
      </c>
      <c r="C12" s="26" t="s">
        <v>1215</v>
      </c>
      <c r="D12" s="26" t="s">
        <v>1216</v>
      </c>
      <c r="E12" s="26" t="s">
        <v>1217</v>
      </c>
      <c r="F12" s="26" t="s">
        <v>175</v>
      </c>
      <c r="G12" s="26" t="s">
        <v>1218</v>
      </c>
      <c r="H12" s="26" t="s">
        <v>103</v>
      </c>
      <c r="I12" s="26" t="s">
        <v>100</v>
      </c>
      <c r="J12" s="26" t="s">
        <v>1219</v>
      </c>
      <c r="K12" s="26" t="s">
        <v>1220</v>
      </c>
      <c r="L12" s="26" t="s">
        <v>100</v>
      </c>
      <c r="M12" s="26" t="s">
        <v>779</v>
      </c>
      <c r="N12" s="26" t="s">
        <v>100</v>
      </c>
      <c r="O12" s="26" t="s">
        <v>1221</v>
      </c>
      <c r="P12" s="26" t="s">
        <v>1222</v>
      </c>
      <c r="Q12" s="26" t="s">
        <v>1223</v>
      </c>
      <c r="R12" s="26" t="s">
        <v>1224</v>
      </c>
      <c r="S12" s="26" t="s">
        <v>1225</v>
      </c>
      <c r="T12" s="26" t="s">
        <v>115</v>
      </c>
      <c r="U12" s="26" t="s">
        <v>1226</v>
      </c>
      <c r="V12" s="26" t="s">
        <v>1227</v>
      </c>
      <c r="W12" s="40">
        <v>2.0</v>
      </c>
      <c r="X12" s="40">
        <v>3.0</v>
      </c>
      <c r="Y12" s="40">
        <v>4.0</v>
      </c>
      <c r="Z12" s="40">
        <v>4.0</v>
      </c>
      <c r="AA12" s="40">
        <v>3.0</v>
      </c>
      <c r="AB12" s="40">
        <v>4.0</v>
      </c>
      <c r="AC12" s="40">
        <v>3.0</v>
      </c>
      <c r="AD12" s="40">
        <v>3.0</v>
      </c>
      <c r="AE12" s="28">
        <f t="shared" si="1"/>
        <v>26</v>
      </c>
      <c r="AF12" s="38" t="s">
        <v>195</v>
      </c>
      <c r="AG12" s="39" t="s">
        <v>1412</v>
      </c>
      <c r="AH12" s="29" t="str">
        <f t="shared" si="2"/>
        <v>Complete</v>
      </c>
    </row>
    <row r="13" ht="372.0" customHeight="1">
      <c r="A13" s="26">
        <v>409.0</v>
      </c>
      <c r="B13" s="27" t="str">
        <f>HYPERLINK("https://github.com/pytorch-fdn/ambassador-program/issues/409","https://github.com/pytorch-fdn/ambassador-program/issues/409")</f>
        <v>https://github.com/pytorch-fdn/ambassador-program/issues/409</v>
      </c>
      <c r="C13" s="26" t="s">
        <v>637</v>
      </c>
      <c r="D13" s="26" t="s">
        <v>638</v>
      </c>
      <c r="E13" s="26" t="s">
        <v>639</v>
      </c>
      <c r="F13" s="26" t="s">
        <v>175</v>
      </c>
      <c r="G13" s="26" t="s">
        <v>640</v>
      </c>
      <c r="H13" s="26" t="s">
        <v>103</v>
      </c>
      <c r="I13" s="26" t="s">
        <v>100</v>
      </c>
      <c r="J13" s="26" t="s">
        <v>641</v>
      </c>
      <c r="K13" s="26" t="s">
        <v>100</v>
      </c>
      <c r="L13" s="26" t="s">
        <v>100</v>
      </c>
      <c r="M13" s="26" t="s">
        <v>642</v>
      </c>
      <c r="N13" s="26" t="s">
        <v>100</v>
      </c>
      <c r="O13" s="26" t="s">
        <v>643</v>
      </c>
      <c r="P13" s="26" t="s">
        <v>649</v>
      </c>
      <c r="Q13" s="26" t="s">
        <v>654</v>
      </c>
      <c r="R13" s="26" t="s">
        <v>657</v>
      </c>
      <c r="S13" s="26" t="s">
        <v>659</v>
      </c>
      <c r="T13" s="26" t="s">
        <v>348</v>
      </c>
      <c r="U13" s="26" t="s">
        <v>661</v>
      </c>
      <c r="V13" s="26" t="s">
        <v>664</v>
      </c>
      <c r="W13" s="37">
        <v>5.0</v>
      </c>
      <c r="X13" s="37">
        <v>5.0</v>
      </c>
      <c r="Y13" s="37">
        <v>4.0</v>
      </c>
      <c r="Z13" s="37">
        <v>4.0</v>
      </c>
      <c r="AA13" s="37">
        <v>5.0</v>
      </c>
      <c r="AB13" s="37">
        <v>5.0</v>
      </c>
      <c r="AC13" s="37">
        <v>5.0</v>
      </c>
      <c r="AD13" s="37">
        <v>5.0</v>
      </c>
      <c r="AE13" s="28">
        <f t="shared" si="1"/>
        <v>38</v>
      </c>
      <c r="AF13" s="38" t="s">
        <v>1375</v>
      </c>
      <c r="AG13" s="39" t="s">
        <v>1418</v>
      </c>
      <c r="AH13" s="29" t="str">
        <f t="shared" si="2"/>
        <v>Complete</v>
      </c>
    </row>
    <row r="14" ht="324.0" customHeight="1">
      <c r="A14" s="26">
        <v>405.0</v>
      </c>
      <c r="B14" s="27" t="str">
        <f>HYPERLINK("https://github.com/pytorch-fdn/ambassador-program/issues/405","https://github.com/pytorch-fdn/ambassador-program/issues/405")</f>
        <v>https://github.com/pytorch-fdn/ambassador-program/issues/405</v>
      </c>
      <c r="C14" s="26" t="s">
        <v>718</v>
      </c>
      <c r="D14" s="26" t="s">
        <v>721</v>
      </c>
      <c r="E14" s="26" t="s">
        <v>723</v>
      </c>
      <c r="F14" s="26" t="s">
        <v>99</v>
      </c>
      <c r="G14" s="26" t="s">
        <v>100</v>
      </c>
      <c r="H14" s="26" t="s">
        <v>103</v>
      </c>
      <c r="I14" s="26" t="s">
        <v>100</v>
      </c>
      <c r="J14" s="26" t="s">
        <v>100</v>
      </c>
      <c r="K14" s="26" t="s">
        <v>728</v>
      </c>
      <c r="L14" s="26" t="s">
        <v>100</v>
      </c>
      <c r="M14" s="26" t="s">
        <v>730</v>
      </c>
      <c r="N14" s="26" t="s">
        <v>100</v>
      </c>
      <c r="O14" s="26" t="s">
        <v>328</v>
      </c>
      <c r="P14" s="26" t="s">
        <v>735</v>
      </c>
      <c r="Q14" s="26" t="s">
        <v>739</v>
      </c>
      <c r="R14" s="26" t="s">
        <v>743</v>
      </c>
      <c r="S14" s="26" t="s">
        <v>745</v>
      </c>
      <c r="T14" s="26" t="s">
        <v>348</v>
      </c>
      <c r="U14" s="26" t="s">
        <v>723</v>
      </c>
      <c r="V14" s="26" t="s">
        <v>748</v>
      </c>
      <c r="W14" s="40">
        <v>1.0</v>
      </c>
      <c r="X14" s="40">
        <v>1.0</v>
      </c>
      <c r="Y14" s="40">
        <v>2.0</v>
      </c>
      <c r="Z14" s="40">
        <v>2.0</v>
      </c>
      <c r="AA14" s="40">
        <v>3.0</v>
      </c>
      <c r="AB14" s="40">
        <v>2.0</v>
      </c>
      <c r="AC14" s="40">
        <v>2.0</v>
      </c>
      <c r="AD14" s="40">
        <v>2.0</v>
      </c>
      <c r="AE14" s="28">
        <f t="shared" si="1"/>
        <v>15</v>
      </c>
      <c r="AF14" s="38" t="s">
        <v>124</v>
      </c>
      <c r="AG14" s="39" t="s">
        <v>1445</v>
      </c>
      <c r="AH14" s="29" t="str">
        <f t="shared" si="2"/>
        <v>Complete</v>
      </c>
    </row>
    <row r="15" ht="408.75" customHeight="1">
      <c r="A15" s="26">
        <v>402.0</v>
      </c>
      <c r="B15" s="27" t="str">
        <f>HYPERLINK("https://github.com/pytorch-fdn/ambassador-program/issues/402","https://github.com/pytorch-fdn/ambassador-program/issues/402")</f>
        <v>https://github.com/pytorch-fdn/ambassador-program/issues/402</v>
      </c>
      <c r="C15" s="26" t="s">
        <v>1452</v>
      </c>
      <c r="D15" s="26" t="s">
        <v>1453</v>
      </c>
      <c r="E15" s="26" t="s">
        <v>1454</v>
      </c>
      <c r="F15" s="26" t="s">
        <v>261</v>
      </c>
      <c r="G15" s="26" t="s">
        <v>1455</v>
      </c>
      <c r="H15" s="26" t="s">
        <v>98</v>
      </c>
      <c r="I15" s="26" t="s">
        <v>100</v>
      </c>
      <c r="J15" s="26" t="s">
        <v>1456</v>
      </c>
      <c r="K15" s="26" t="s">
        <v>1457</v>
      </c>
      <c r="L15" s="26" t="s">
        <v>1458</v>
      </c>
      <c r="M15" s="26" t="s">
        <v>162</v>
      </c>
      <c r="N15" s="26" t="s">
        <v>100</v>
      </c>
      <c r="O15" s="26" t="s">
        <v>1440</v>
      </c>
      <c r="P15" s="26" t="s">
        <v>1463</v>
      </c>
      <c r="Q15" s="26" t="s">
        <v>1464</v>
      </c>
      <c r="R15" s="26" t="s">
        <v>1467</v>
      </c>
      <c r="S15" s="26" t="s">
        <v>880</v>
      </c>
      <c r="T15" s="26" t="s">
        <v>158</v>
      </c>
      <c r="U15" s="26" t="s">
        <v>989</v>
      </c>
      <c r="V15" s="26" t="s">
        <v>1473</v>
      </c>
      <c r="W15" s="37">
        <v>2.0</v>
      </c>
      <c r="X15" s="37">
        <v>3.0</v>
      </c>
      <c r="Y15" s="37">
        <v>5.0</v>
      </c>
      <c r="Z15" s="37">
        <v>5.0</v>
      </c>
      <c r="AA15" s="37">
        <v>4.0</v>
      </c>
      <c r="AB15" s="37">
        <v>4.0</v>
      </c>
      <c r="AC15" s="37">
        <v>4.0</v>
      </c>
      <c r="AD15" s="37">
        <v>4.0</v>
      </c>
      <c r="AE15" s="28">
        <f t="shared" si="1"/>
        <v>31</v>
      </c>
      <c r="AF15" s="38" t="s">
        <v>195</v>
      </c>
      <c r="AG15" s="39" t="s">
        <v>1482</v>
      </c>
      <c r="AH15" s="29" t="str">
        <f t="shared" si="2"/>
        <v>Complete</v>
      </c>
    </row>
    <row r="16" ht="408.75" customHeight="1">
      <c r="A16" s="26">
        <v>401.0</v>
      </c>
      <c r="B16" s="27" t="str">
        <f>HYPERLINK("https://github.com/pytorch-fdn/ambassador-program/issues/401","https://github.com/pytorch-fdn/ambassador-program/issues/401")</f>
        <v>https://github.com/pytorch-fdn/ambassador-program/issues/401</v>
      </c>
      <c r="C16" s="26" t="s">
        <v>769</v>
      </c>
      <c r="D16" s="26" t="s">
        <v>770</v>
      </c>
      <c r="E16" s="26" t="s">
        <v>771</v>
      </c>
      <c r="F16" s="26" t="s">
        <v>261</v>
      </c>
      <c r="G16" s="26" t="s">
        <v>774</v>
      </c>
      <c r="H16" s="26" t="s">
        <v>98</v>
      </c>
      <c r="I16" s="26" t="s">
        <v>100</v>
      </c>
      <c r="J16" s="26" t="s">
        <v>776</v>
      </c>
      <c r="K16" s="26" t="s">
        <v>100</v>
      </c>
      <c r="L16" s="26" t="s">
        <v>778</v>
      </c>
      <c r="M16" s="26" t="s">
        <v>779</v>
      </c>
      <c r="N16" s="26" t="s">
        <v>100</v>
      </c>
      <c r="O16" s="26" t="s">
        <v>134</v>
      </c>
      <c r="P16" s="26" t="s">
        <v>783</v>
      </c>
      <c r="Q16" s="26" t="s">
        <v>787</v>
      </c>
      <c r="R16" s="26" t="s">
        <v>788</v>
      </c>
      <c r="S16" s="26" t="s">
        <v>144</v>
      </c>
      <c r="T16" s="26" t="s">
        <v>115</v>
      </c>
      <c r="U16" s="26" t="s">
        <v>791</v>
      </c>
      <c r="V16" s="26" t="s">
        <v>118</v>
      </c>
      <c r="W16" s="40">
        <v>5.0</v>
      </c>
      <c r="X16" s="40">
        <v>5.0</v>
      </c>
      <c r="Y16" s="40">
        <v>4.0</v>
      </c>
      <c r="Z16" s="40">
        <v>4.0</v>
      </c>
      <c r="AA16" s="40">
        <v>5.0</v>
      </c>
      <c r="AB16" s="40">
        <v>5.0</v>
      </c>
      <c r="AC16" s="40">
        <v>5.0</v>
      </c>
      <c r="AD16" s="40">
        <v>5.0</v>
      </c>
      <c r="AE16" s="28">
        <f t="shared" si="1"/>
        <v>38</v>
      </c>
      <c r="AF16" s="38" t="s">
        <v>1375</v>
      </c>
      <c r="AG16" s="39" t="s">
        <v>1503</v>
      </c>
      <c r="AH16" s="29" t="str">
        <f t="shared" si="2"/>
        <v>Complete</v>
      </c>
    </row>
    <row r="17" ht="288.0" customHeight="1">
      <c r="A17" s="26">
        <v>396.0</v>
      </c>
      <c r="B17" s="27" t="str">
        <f>HYPERLINK("https://github.com/pytorch-fdn/ambassador-program/issues/396","https://github.com/pytorch-fdn/ambassador-program/issues/396")</f>
        <v>https://github.com/pytorch-fdn/ambassador-program/issues/396</v>
      </c>
      <c r="C17" s="26" t="s">
        <v>529</v>
      </c>
      <c r="D17" s="26" t="s">
        <v>530</v>
      </c>
      <c r="E17" s="26" t="s">
        <v>531</v>
      </c>
      <c r="F17" s="26" t="s">
        <v>261</v>
      </c>
      <c r="G17" s="26" t="s">
        <v>533</v>
      </c>
      <c r="H17" s="26" t="s">
        <v>103</v>
      </c>
      <c r="I17" s="26" t="s">
        <v>100</v>
      </c>
      <c r="J17" s="26" t="s">
        <v>536</v>
      </c>
      <c r="K17" s="26" t="s">
        <v>100</v>
      </c>
      <c r="L17" s="26" t="s">
        <v>100</v>
      </c>
      <c r="M17" s="26" t="s">
        <v>162</v>
      </c>
      <c r="N17" s="26" t="s">
        <v>100</v>
      </c>
      <c r="O17" s="26" t="s">
        <v>474</v>
      </c>
      <c r="P17" s="26" t="s">
        <v>541</v>
      </c>
      <c r="Q17" s="26" t="s">
        <v>545</v>
      </c>
      <c r="R17" s="26" t="s">
        <v>547</v>
      </c>
      <c r="S17" s="26" t="s">
        <v>550</v>
      </c>
      <c r="T17" s="26" t="s">
        <v>551</v>
      </c>
      <c r="U17" s="26" t="s">
        <v>552</v>
      </c>
      <c r="V17" s="26" t="s">
        <v>118</v>
      </c>
      <c r="W17" s="37">
        <v>2.0</v>
      </c>
      <c r="X17" s="37">
        <v>2.0</v>
      </c>
      <c r="Y17" s="37">
        <v>2.0</v>
      </c>
      <c r="Z17" s="37">
        <v>2.0</v>
      </c>
      <c r="AA17" s="37">
        <v>3.0</v>
      </c>
      <c r="AB17" s="37">
        <v>3.0</v>
      </c>
      <c r="AC17" s="37">
        <v>2.0</v>
      </c>
      <c r="AD17" s="37">
        <v>2.0</v>
      </c>
      <c r="AE17" s="28">
        <f t="shared" si="1"/>
        <v>18</v>
      </c>
      <c r="AF17" s="38" t="s">
        <v>303</v>
      </c>
      <c r="AG17" s="39" t="s">
        <v>1522</v>
      </c>
      <c r="AH17" s="29" t="str">
        <f t="shared" si="2"/>
        <v>Complete</v>
      </c>
    </row>
    <row r="18" ht="336.0" customHeight="1">
      <c r="A18" s="26">
        <v>374.0</v>
      </c>
      <c r="B18" s="27" t="str">
        <f>HYPERLINK("https://github.com/pytorch-fdn/ambassador-program/issues/374","https://github.com/pytorch-fdn/ambassador-program/issues/374")</f>
        <v>https://github.com/pytorch-fdn/ambassador-program/issues/374</v>
      </c>
      <c r="C18" s="26" t="s">
        <v>1523</v>
      </c>
      <c r="D18" s="26" t="s">
        <v>1524</v>
      </c>
      <c r="E18" s="26" t="s">
        <v>1525</v>
      </c>
      <c r="F18" s="26" t="s">
        <v>175</v>
      </c>
      <c r="G18" s="26" t="s">
        <v>1526</v>
      </c>
      <c r="H18" s="26" t="s">
        <v>98</v>
      </c>
      <c r="I18" s="26" t="s">
        <v>100</v>
      </c>
      <c r="J18" s="26" t="s">
        <v>1527</v>
      </c>
      <c r="K18" s="26" t="s">
        <v>1528</v>
      </c>
      <c r="L18" s="26" t="s">
        <v>1529</v>
      </c>
      <c r="M18" s="26" t="s">
        <v>162</v>
      </c>
      <c r="N18" s="26" t="s">
        <v>100</v>
      </c>
      <c r="O18" s="26" t="s">
        <v>1530</v>
      </c>
      <c r="P18" s="26" t="s">
        <v>1531</v>
      </c>
      <c r="Q18" s="26" t="s">
        <v>1532</v>
      </c>
      <c r="R18" s="26" t="s">
        <v>1533</v>
      </c>
      <c r="S18" s="26" t="s">
        <v>1534</v>
      </c>
      <c r="T18" s="26" t="s">
        <v>115</v>
      </c>
      <c r="U18" s="26" t="s">
        <v>247</v>
      </c>
      <c r="V18" s="26" t="s">
        <v>1535</v>
      </c>
      <c r="W18" s="40">
        <v>2.0</v>
      </c>
      <c r="X18" s="40">
        <v>2.0</v>
      </c>
      <c r="Y18" s="40">
        <v>2.0</v>
      </c>
      <c r="Z18" s="40">
        <v>2.0</v>
      </c>
      <c r="AA18" s="40">
        <v>3.0</v>
      </c>
      <c r="AB18" s="40">
        <v>3.0</v>
      </c>
      <c r="AC18" s="40">
        <v>3.0</v>
      </c>
      <c r="AD18" s="40">
        <v>2.0</v>
      </c>
      <c r="AE18" s="28">
        <f t="shared" si="1"/>
        <v>19</v>
      </c>
      <c r="AF18" s="38" t="s">
        <v>303</v>
      </c>
      <c r="AG18" s="39" t="s">
        <v>1536</v>
      </c>
      <c r="AH18" s="29" t="str">
        <f t="shared" si="2"/>
        <v>Complete</v>
      </c>
    </row>
    <row r="19" ht="126.0" customHeight="1">
      <c r="A19" s="26">
        <v>368.0</v>
      </c>
      <c r="B19" s="27" t="str">
        <f>HYPERLINK("https://github.com/pytorch-fdn/ambassador-program/issues/368","https://github.com/pytorch-fdn/ambassador-program/issues/368")</f>
        <v>https://github.com/pytorch-fdn/ambassador-program/issues/368</v>
      </c>
      <c r="C19" s="26" t="s">
        <v>1377</v>
      </c>
      <c r="D19" s="26" t="s">
        <v>1378</v>
      </c>
      <c r="E19" s="26" t="s">
        <v>1379</v>
      </c>
      <c r="F19" s="26" t="s">
        <v>99</v>
      </c>
      <c r="G19" s="26" t="s">
        <v>100</v>
      </c>
      <c r="H19" s="26" t="s">
        <v>103</v>
      </c>
      <c r="I19" s="26" t="s">
        <v>100</v>
      </c>
      <c r="J19" s="26" t="s">
        <v>1381</v>
      </c>
      <c r="K19" s="26" t="s">
        <v>100</v>
      </c>
      <c r="L19" s="26" t="s">
        <v>100</v>
      </c>
      <c r="M19" s="26" t="s">
        <v>108</v>
      </c>
      <c r="N19" s="26" t="s">
        <v>100</v>
      </c>
      <c r="O19" s="26" t="s">
        <v>279</v>
      </c>
      <c r="P19" s="26" t="s">
        <v>1382</v>
      </c>
      <c r="Q19" s="26" t="s">
        <v>1383</v>
      </c>
      <c r="R19" s="26" t="s">
        <v>1384</v>
      </c>
      <c r="S19" s="26" t="s">
        <v>144</v>
      </c>
      <c r="T19" s="26" t="s">
        <v>121</v>
      </c>
      <c r="U19" s="26" t="s">
        <v>1385</v>
      </c>
      <c r="V19" s="26" t="s">
        <v>1386</v>
      </c>
      <c r="W19" s="37">
        <v>1.0</v>
      </c>
      <c r="X19" s="37">
        <v>1.0</v>
      </c>
      <c r="Y19" s="37">
        <v>1.0</v>
      </c>
      <c r="Z19" s="37">
        <v>1.0</v>
      </c>
      <c r="AA19" s="37">
        <v>2.0</v>
      </c>
      <c r="AB19" s="37">
        <v>2.0</v>
      </c>
      <c r="AC19" s="37">
        <v>1.0</v>
      </c>
      <c r="AD19" s="37">
        <v>1.0</v>
      </c>
      <c r="AE19" s="28">
        <f t="shared" si="1"/>
        <v>10</v>
      </c>
      <c r="AF19" s="38" t="s">
        <v>124</v>
      </c>
      <c r="AG19" s="39" t="s">
        <v>1546</v>
      </c>
      <c r="AH19" s="29" t="str">
        <f t="shared" si="2"/>
        <v>Complete</v>
      </c>
    </row>
    <row r="20" ht="408.75" customHeight="1">
      <c r="A20" s="26">
        <v>366.0</v>
      </c>
      <c r="B20" s="27" t="str">
        <f>HYPERLINK("https://github.com/pytorch-fdn/ambassador-program/issues/366","https://github.com/pytorch-fdn/ambassador-program/issues/366")</f>
        <v>https://github.com/pytorch-fdn/ambassador-program/issues/366</v>
      </c>
      <c r="C20" s="26" t="s">
        <v>1402</v>
      </c>
      <c r="D20" s="26" t="s">
        <v>1403</v>
      </c>
      <c r="E20" s="26" t="s">
        <v>1404</v>
      </c>
      <c r="F20" s="26" t="s">
        <v>175</v>
      </c>
      <c r="G20" s="26" t="s">
        <v>1405</v>
      </c>
      <c r="H20" s="26" t="s">
        <v>103</v>
      </c>
      <c r="I20" s="26" t="s">
        <v>100</v>
      </c>
      <c r="J20" s="26" t="s">
        <v>1406</v>
      </c>
      <c r="K20" s="26" t="s">
        <v>100</v>
      </c>
      <c r="L20" s="26" t="s">
        <v>100</v>
      </c>
      <c r="M20" s="26" t="s">
        <v>106</v>
      </c>
      <c r="N20" s="26" t="s">
        <v>100</v>
      </c>
      <c r="O20" s="26" t="s">
        <v>1407</v>
      </c>
      <c r="P20" s="26" t="s">
        <v>1408</v>
      </c>
      <c r="Q20" s="26" t="s">
        <v>1409</v>
      </c>
      <c r="R20" s="26" t="s">
        <v>1410</v>
      </c>
      <c r="S20" s="26" t="s">
        <v>144</v>
      </c>
      <c r="T20" s="26" t="s">
        <v>115</v>
      </c>
      <c r="U20" s="26" t="s">
        <v>145</v>
      </c>
      <c r="V20" s="26" t="s">
        <v>1411</v>
      </c>
      <c r="W20" s="40">
        <v>3.0</v>
      </c>
      <c r="X20" s="40">
        <v>3.0</v>
      </c>
      <c r="Y20" s="40">
        <v>3.0</v>
      </c>
      <c r="Z20" s="40">
        <v>3.0</v>
      </c>
      <c r="AA20" s="40">
        <v>4.0</v>
      </c>
      <c r="AB20" s="40">
        <v>4.0</v>
      </c>
      <c r="AC20" s="40">
        <v>3.0</v>
      </c>
      <c r="AD20" s="40">
        <v>3.0</v>
      </c>
      <c r="AE20" s="28">
        <f t="shared" si="1"/>
        <v>26</v>
      </c>
      <c r="AF20" s="38" t="s">
        <v>195</v>
      </c>
      <c r="AG20" s="39" t="s">
        <v>1557</v>
      </c>
      <c r="AH20" s="29" t="str">
        <f t="shared" si="2"/>
        <v>Complete</v>
      </c>
    </row>
    <row r="21" ht="408.75" customHeight="1">
      <c r="A21" s="26">
        <v>363.0</v>
      </c>
      <c r="B21" s="27" t="str">
        <f>HYPERLINK("https://github.com/pytorch-fdn/ambassador-program/issues/363","https://github.com/pytorch-fdn/ambassador-program/issues/363")</f>
        <v>https://github.com/pytorch-fdn/ambassador-program/issues/363</v>
      </c>
      <c r="C21" s="26" t="s">
        <v>1020</v>
      </c>
      <c r="D21" s="26" t="s">
        <v>1021</v>
      </c>
      <c r="E21" s="26" t="s">
        <v>1022</v>
      </c>
      <c r="F21" s="26" t="s">
        <v>261</v>
      </c>
      <c r="G21" s="26" t="s">
        <v>1023</v>
      </c>
      <c r="H21" s="26" t="s">
        <v>103</v>
      </c>
      <c r="I21" s="26" t="s">
        <v>100</v>
      </c>
      <c r="J21" s="26" t="s">
        <v>1026</v>
      </c>
      <c r="K21" s="26" t="s">
        <v>100</v>
      </c>
      <c r="L21" s="26" t="s">
        <v>100</v>
      </c>
      <c r="M21" s="26" t="s">
        <v>106</v>
      </c>
      <c r="N21" s="26" t="s">
        <v>100</v>
      </c>
      <c r="O21" s="26" t="s">
        <v>1028</v>
      </c>
      <c r="P21" s="26" t="s">
        <v>1032</v>
      </c>
      <c r="Q21" s="26" t="s">
        <v>1034</v>
      </c>
      <c r="R21" s="26" t="s">
        <v>1037</v>
      </c>
      <c r="S21" s="26" t="s">
        <v>549</v>
      </c>
      <c r="T21" s="26" t="s">
        <v>158</v>
      </c>
      <c r="U21" s="26" t="s">
        <v>1042</v>
      </c>
      <c r="V21" s="26" t="s">
        <v>1044</v>
      </c>
      <c r="W21" s="37">
        <v>4.0</v>
      </c>
      <c r="X21" s="37">
        <v>4.0</v>
      </c>
      <c r="Y21" s="37">
        <v>5.0</v>
      </c>
      <c r="Z21" s="37">
        <v>5.0</v>
      </c>
      <c r="AA21" s="37">
        <v>4.0</v>
      </c>
      <c r="AB21" s="37">
        <v>5.0</v>
      </c>
      <c r="AC21" s="37">
        <v>4.0</v>
      </c>
      <c r="AD21" s="37">
        <v>5.0</v>
      </c>
      <c r="AE21" s="28">
        <f t="shared" si="1"/>
        <v>36</v>
      </c>
      <c r="AF21" s="38" t="s">
        <v>1375</v>
      </c>
      <c r="AG21" s="39" t="s">
        <v>1569</v>
      </c>
      <c r="AH21" s="29" t="str">
        <f t="shared" si="2"/>
        <v>Complete</v>
      </c>
    </row>
    <row r="22" ht="408.75" customHeight="1">
      <c r="A22" s="26">
        <v>362.0</v>
      </c>
      <c r="B22" s="27" t="str">
        <f>HYPERLINK("https://github.com/pytorch-fdn/ambassador-program/issues/362","https://github.com/pytorch-fdn/ambassador-program/issues/362")</f>
        <v>https://github.com/pytorch-fdn/ambassador-program/issues/362</v>
      </c>
      <c r="C22" s="26" t="s">
        <v>1420</v>
      </c>
      <c r="D22" s="26" t="s">
        <v>1421</v>
      </c>
      <c r="E22" s="26" t="s">
        <v>1422</v>
      </c>
      <c r="F22" s="26" t="s">
        <v>99</v>
      </c>
      <c r="G22" s="26" t="s">
        <v>1423</v>
      </c>
      <c r="H22" s="26" t="s">
        <v>103</v>
      </c>
      <c r="I22" s="26" t="s">
        <v>100</v>
      </c>
      <c r="J22" s="26" t="s">
        <v>1424</v>
      </c>
      <c r="K22" s="26" t="s">
        <v>100</v>
      </c>
      <c r="L22" s="26" t="s">
        <v>100</v>
      </c>
      <c r="M22" s="26" t="s">
        <v>294</v>
      </c>
      <c r="N22" s="26" t="s">
        <v>100</v>
      </c>
      <c r="O22" s="26" t="s">
        <v>632</v>
      </c>
      <c r="P22" s="26" t="s">
        <v>1427</v>
      </c>
      <c r="Q22" s="26" t="s">
        <v>1428</v>
      </c>
      <c r="R22" s="26" t="s">
        <v>1429</v>
      </c>
      <c r="S22" s="26" t="s">
        <v>616</v>
      </c>
      <c r="T22" s="26" t="s">
        <v>115</v>
      </c>
      <c r="U22" s="26" t="s">
        <v>145</v>
      </c>
      <c r="V22" s="26" t="s">
        <v>118</v>
      </c>
      <c r="W22" s="40">
        <v>3.0</v>
      </c>
      <c r="X22" s="40">
        <v>3.0</v>
      </c>
      <c r="Y22" s="40">
        <v>2.0</v>
      </c>
      <c r="Z22" s="40">
        <v>2.0</v>
      </c>
      <c r="AA22" s="40">
        <v>4.0</v>
      </c>
      <c r="AB22" s="40">
        <v>4.0</v>
      </c>
      <c r="AC22" s="40">
        <v>2.0</v>
      </c>
      <c r="AD22" s="40">
        <v>3.0</v>
      </c>
      <c r="AE22" s="28">
        <f t="shared" si="1"/>
        <v>23</v>
      </c>
      <c r="AF22" s="38" t="s">
        <v>303</v>
      </c>
      <c r="AG22" s="39" t="s">
        <v>1572</v>
      </c>
      <c r="AH22" s="29" t="str">
        <f t="shared" si="2"/>
        <v>Complete</v>
      </c>
    </row>
    <row r="23" ht="336.0" customHeight="1">
      <c r="A23" s="26">
        <v>356.0</v>
      </c>
      <c r="B23" s="27" t="str">
        <f>HYPERLINK("https://github.com/pytorch-fdn/ambassador-program/issues/356","https://github.com/pytorch-fdn/ambassador-program/issues/356")</f>
        <v>https://github.com/pytorch-fdn/ambassador-program/issues/356</v>
      </c>
      <c r="C23" s="26" t="s">
        <v>1575</v>
      </c>
      <c r="D23" s="26" t="s">
        <v>1577</v>
      </c>
      <c r="E23" s="26" t="s">
        <v>813</v>
      </c>
      <c r="F23" s="26" t="s">
        <v>261</v>
      </c>
      <c r="G23" s="26" t="s">
        <v>1579</v>
      </c>
      <c r="H23" s="26" t="s">
        <v>98</v>
      </c>
      <c r="I23" s="26" t="s">
        <v>100</v>
      </c>
      <c r="J23" s="26" t="s">
        <v>100</v>
      </c>
      <c r="K23" s="26" t="s">
        <v>100</v>
      </c>
      <c r="L23" s="26" t="s">
        <v>1583</v>
      </c>
      <c r="M23" s="26" t="s">
        <v>334</v>
      </c>
      <c r="N23" s="26" t="s">
        <v>1585</v>
      </c>
      <c r="O23" s="26" t="s">
        <v>1586</v>
      </c>
      <c r="P23" s="26" t="s">
        <v>1589</v>
      </c>
      <c r="Q23" s="26" t="s">
        <v>1590</v>
      </c>
      <c r="R23" s="26" t="s">
        <v>1592</v>
      </c>
      <c r="S23" s="26" t="s">
        <v>254</v>
      </c>
      <c r="T23" s="26" t="s">
        <v>121</v>
      </c>
      <c r="U23" s="26" t="s">
        <v>255</v>
      </c>
      <c r="V23" s="26" t="s">
        <v>1593</v>
      </c>
      <c r="W23" s="37">
        <v>5.0</v>
      </c>
      <c r="X23" s="37">
        <v>5.0</v>
      </c>
      <c r="Y23" s="37">
        <v>3.0</v>
      </c>
      <c r="Z23" s="37">
        <v>3.0</v>
      </c>
      <c r="AA23" s="37">
        <v>4.0</v>
      </c>
      <c r="AB23" s="37">
        <v>5.0</v>
      </c>
      <c r="AC23" s="37">
        <v>4.0</v>
      </c>
      <c r="AD23" s="37">
        <v>5.0</v>
      </c>
      <c r="AE23" s="28">
        <f t="shared" si="1"/>
        <v>34</v>
      </c>
      <c r="AF23" s="38" t="s">
        <v>1375</v>
      </c>
      <c r="AG23" s="39" t="s">
        <v>1595</v>
      </c>
      <c r="AH23" s="29" t="str">
        <f t="shared" si="2"/>
        <v>Complete</v>
      </c>
    </row>
    <row r="24" ht="372.0" customHeight="1">
      <c r="A24" s="26">
        <v>350.0</v>
      </c>
      <c r="B24" s="27" t="str">
        <f>HYPERLINK("https://github.com/pytorch-fdn/ambassador-program/issues/350","https://github.com/pytorch-fdn/ambassador-program/issues/350")</f>
        <v>https://github.com/pytorch-fdn/ambassador-program/issues/350</v>
      </c>
      <c r="C24" s="26" t="s">
        <v>1596</v>
      </c>
      <c r="D24" s="26" t="s">
        <v>1597</v>
      </c>
      <c r="E24" s="26" t="s">
        <v>1598</v>
      </c>
      <c r="F24" s="26" t="s">
        <v>1599</v>
      </c>
      <c r="G24" s="26" t="s">
        <v>1600</v>
      </c>
      <c r="H24" s="26" t="s">
        <v>103</v>
      </c>
      <c r="I24" s="26" t="s">
        <v>100</v>
      </c>
      <c r="J24" s="26" t="s">
        <v>1601</v>
      </c>
      <c r="K24" s="26" t="s">
        <v>100</v>
      </c>
      <c r="L24" s="26" t="s">
        <v>100</v>
      </c>
      <c r="M24" s="26" t="s">
        <v>1602</v>
      </c>
      <c r="N24" s="26" t="s">
        <v>100</v>
      </c>
      <c r="O24" s="26" t="s">
        <v>1603</v>
      </c>
      <c r="P24" s="26" t="s">
        <v>1604</v>
      </c>
      <c r="Q24" s="26" t="s">
        <v>1605</v>
      </c>
      <c r="R24" s="26" t="s">
        <v>1606</v>
      </c>
      <c r="S24" s="26" t="s">
        <v>1607</v>
      </c>
      <c r="T24" s="26" t="s">
        <v>348</v>
      </c>
      <c r="U24" s="26" t="s">
        <v>349</v>
      </c>
      <c r="V24" s="26" t="s">
        <v>1608</v>
      </c>
      <c r="W24" s="40">
        <v>4.0</v>
      </c>
      <c r="X24" s="40">
        <v>3.0</v>
      </c>
      <c r="Y24" s="40">
        <v>4.0</v>
      </c>
      <c r="Z24" s="40">
        <v>4.0</v>
      </c>
      <c r="AA24" s="40">
        <v>2.0</v>
      </c>
      <c r="AB24" s="40">
        <v>3.0</v>
      </c>
      <c r="AC24" s="40">
        <v>4.0</v>
      </c>
      <c r="AD24" s="40">
        <v>4.0</v>
      </c>
      <c r="AE24" s="28">
        <f t="shared" si="1"/>
        <v>28</v>
      </c>
      <c r="AF24" s="38" t="s">
        <v>195</v>
      </c>
      <c r="AG24" s="39" t="s">
        <v>1609</v>
      </c>
      <c r="AH24" s="29" t="str">
        <f t="shared" si="2"/>
        <v>Complete</v>
      </c>
    </row>
    <row r="25" ht="408.75" customHeight="1">
      <c r="A25" s="26">
        <v>344.0</v>
      </c>
      <c r="B25" s="27" t="str">
        <f>HYPERLINK("https://github.com/pytorch-fdn/ambassador-program/issues/344","https://github.com/pytorch-fdn/ambassador-program/issues/344")</f>
        <v>https://github.com/pytorch-fdn/ambassador-program/issues/344</v>
      </c>
      <c r="C25" s="26" t="s">
        <v>930</v>
      </c>
      <c r="D25" s="26" t="s">
        <v>932</v>
      </c>
      <c r="E25" s="26" t="s">
        <v>935</v>
      </c>
      <c r="F25" s="26" t="s">
        <v>95</v>
      </c>
      <c r="G25" s="26" t="s">
        <v>938</v>
      </c>
      <c r="H25" s="26" t="s">
        <v>98</v>
      </c>
      <c r="I25" s="26" t="s">
        <v>100</v>
      </c>
      <c r="J25" s="26" t="s">
        <v>940</v>
      </c>
      <c r="K25" s="26" t="s">
        <v>941</v>
      </c>
      <c r="L25" s="26" t="s">
        <v>942</v>
      </c>
      <c r="M25" s="26" t="s">
        <v>162</v>
      </c>
      <c r="N25" s="26" t="s">
        <v>100</v>
      </c>
      <c r="O25" s="26" t="s">
        <v>945</v>
      </c>
      <c r="P25" s="26" t="s">
        <v>948</v>
      </c>
      <c r="Q25" s="26" t="s">
        <v>949</v>
      </c>
      <c r="R25" s="26" t="s">
        <v>951</v>
      </c>
      <c r="S25" s="26" t="s">
        <v>953</v>
      </c>
      <c r="T25" s="26" t="s">
        <v>115</v>
      </c>
      <c r="U25" s="26" t="s">
        <v>866</v>
      </c>
      <c r="V25" s="26" t="s">
        <v>118</v>
      </c>
      <c r="W25" s="37">
        <v>5.0</v>
      </c>
      <c r="X25" s="37">
        <v>5.0</v>
      </c>
      <c r="Y25" s="37">
        <v>5.0</v>
      </c>
      <c r="Z25" s="37">
        <v>5.0</v>
      </c>
      <c r="AA25" s="37">
        <v>4.0</v>
      </c>
      <c r="AB25" s="37">
        <v>5.0</v>
      </c>
      <c r="AC25" s="37">
        <v>4.0</v>
      </c>
      <c r="AD25" s="37">
        <v>5.0</v>
      </c>
      <c r="AE25" s="28">
        <f t="shared" si="1"/>
        <v>38</v>
      </c>
      <c r="AF25" s="38" t="s">
        <v>1375</v>
      </c>
      <c r="AG25" s="39" t="s">
        <v>1610</v>
      </c>
      <c r="AH25" s="29" t="str">
        <f t="shared" si="2"/>
        <v>Complete</v>
      </c>
    </row>
    <row r="26" ht="126.0" customHeight="1">
      <c r="A26" s="26">
        <v>335.0</v>
      </c>
      <c r="B26" s="27" t="str">
        <f>HYPERLINK("https://github.com/pytorch-fdn/ambassador-program/issues/335","https://github.com/pytorch-fdn/ambassador-program/issues/335")</f>
        <v>https://github.com/pytorch-fdn/ambassador-program/issues/335</v>
      </c>
      <c r="C26" s="26" t="s">
        <v>1459</v>
      </c>
      <c r="D26" s="26" t="s">
        <v>1460</v>
      </c>
      <c r="E26" s="26" t="s">
        <v>685</v>
      </c>
      <c r="F26" s="26" t="s">
        <v>175</v>
      </c>
      <c r="G26" s="26" t="s">
        <v>1461</v>
      </c>
      <c r="H26" s="26" t="s">
        <v>103</v>
      </c>
      <c r="I26" s="26" t="s">
        <v>100</v>
      </c>
      <c r="J26" s="26" t="s">
        <v>1462</v>
      </c>
      <c r="K26" s="26" t="s">
        <v>100</v>
      </c>
      <c r="L26" s="26" t="s">
        <v>100</v>
      </c>
      <c r="M26" s="26" t="s">
        <v>162</v>
      </c>
      <c r="N26" s="26" t="s">
        <v>100</v>
      </c>
      <c r="O26" s="26" t="s">
        <v>1465</v>
      </c>
      <c r="P26" s="26" t="s">
        <v>1468</v>
      </c>
      <c r="Q26" s="26" t="s">
        <v>1470</v>
      </c>
      <c r="R26" s="26" t="s">
        <v>1471</v>
      </c>
      <c r="S26" s="26" t="s">
        <v>1113</v>
      </c>
      <c r="T26" s="26" t="s">
        <v>115</v>
      </c>
      <c r="U26" s="26" t="s">
        <v>685</v>
      </c>
      <c r="V26" s="26" t="s">
        <v>118</v>
      </c>
      <c r="W26" s="40">
        <v>1.0</v>
      </c>
      <c r="X26" s="40">
        <v>1.0</v>
      </c>
      <c r="Y26" s="40">
        <v>1.0</v>
      </c>
      <c r="Z26" s="40">
        <v>1.0</v>
      </c>
      <c r="AA26" s="40">
        <v>2.0</v>
      </c>
      <c r="AB26" s="40">
        <v>2.0</v>
      </c>
      <c r="AC26" s="40">
        <v>1.0</v>
      </c>
      <c r="AD26" s="40">
        <v>1.0</v>
      </c>
      <c r="AE26" s="28">
        <f t="shared" si="1"/>
        <v>10</v>
      </c>
      <c r="AF26" s="38" t="s">
        <v>124</v>
      </c>
      <c r="AG26" s="39" t="s">
        <v>1611</v>
      </c>
      <c r="AH26" s="29" t="str">
        <f t="shared" si="2"/>
        <v>Complete</v>
      </c>
    </row>
    <row r="27" ht="126.0" customHeight="1">
      <c r="A27" s="26">
        <v>333.0</v>
      </c>
      <c r="B27" s="27" t="str">
        <f>HYPERLINK("https://github.com/pytorch-fdn/ambassador-program/issues/333","https://github.com/pytorch-fdn/ambassador-program/issues/333")</f>
        <v>https://github.com/pytorch-fdn/ambassador-program/issues/333</v>
      </c>
      <c r="C27" s="26" t="s">
        <v>1612</v>
      </c>
      <c r="D27" s="26" t="s">
        <v>1613</v>
      </c>
      <c r="E27" s="26" t="s">
        <v>1614</v>
      </c>
      <c r="F27" s="26" t="s">
        <v>95</v>
      </c>
      <c r="G27" s="26" t="s">
        <v>1615</v>
      </c>
      <c r="H27" s="26" t="s">
        <v>103</v>
      </c>
      <c r="I27" s="26" t="s">
        <v>100</v>
      </c>
      <c r="J27" s="26" t="s">
        <v>1616</v>
      </c>
      <c r="K27" s="26" t="s">
        <v>100</v>
      </c>
      <c r="L27" s="26" t="s">
        <v>100</v>
      </c>
      <c r="M27" s="26" t="s">
        <v>896</v>
      </c>
      <c r="N27" s="26" t="s">
        <v>100</v>
      </c>
      <c r="O27" s="26" t="s">
        <v>1617</v>
      </c>
      <c r="P27" s="26" t="s">
        <v>1618</v>
      </c>
      <c r="Q27" s="26" t="s">
        <v>1619</v>
      </c>
      <c r="R27" s="26" t="s">
        <v>1620</v>
      </c>
      <c r="S27" s="26" t="s">
        <v>1621</v>
      </c>
      <c r="T27" s="26" t="s">
        <v>115</v>
      </c>
      <c r="U27" s="26" t="s">
        <v>1614</v>
      </c>
      <c r="V27" s="26" t="s">
        <v>118</v>
      </c>
      <c r="W27" s="37">
        <v>2.0</v>
      </c>
      <c r="X27" s="37">
        <v>2.0</v>
      </c>
      <c r="Y27" s="37">
        <v>4.0</v>
      </c>
      <c r="Z27" s="37">
        <v>4.0</v>
      </c>
      <c r="AA27" s="37">
        <v>3.0</v>
      </c>
      <c r="AB27" s="37">
        <v>3.0</v>
      </c>
      <c r="AC27" s="37">
        <v>3.0</v>
      </c>
      <c r="AD27" s="37">
        <v>3.0</v>
      </c>
      <c r="AE27" s="28">
        <f t="shared" si="1"/>
        <v>24</v>
      </c>
      <c r="AF27" s="38" t="s">
        <v>195</v>
      </c>
      <c r="AG27" s="39" t="s">
        <v>1622</v>
      </c>
      <c r="AH27" s="29" t="str">
        <f t="shared" si="2"/>
        <v>Complete</v>
      </c>
    </row>
    <row r="28" ht="408.75" customHeight="1">
      <c r="A28" s="26">
        <v>326.0</v>
      </c>
      <c r="B28" s="27" t="str">
        <f>HYPERLINK("https://github.com/pytorch-fdn/ambassador-program/issues/326","https://github.com/pytorch-fdn/ambassador-program/issues/326")</f>
        <v>https://github.com/pytorch-fdn/ambassador-program/issues/326</v>
      </c>
      <c r="C28" s="26" t="s">
        <v>1623</v>
      </c>
      <c r="D28" s="26" t="s">
        <v>1624</v>
      </c>
      <c r="E28" s="26" t="s">
        <v>475</v>
      </c>
      <c r="F28" s="26" t="s">
        <v>95</v>
      </c>
      <c r="G28" s="26" t="s">
        <v>1625</v>
      </c>
      <c r="H28" s="26" t="s">
        <v>98</v>
      </c>
      <c r="I28" s="26" t="s">
        <v>100</v>
      </c>
      <c r="J28" s="26" t="s">
        <v>1626</v>
      </c>
      <c r="K28" s="26" t="s">
        <v>100</v>
      </c>
      <c r="L28" s="26" t="s">
        <v>1627</v>
      </c>
      <c r="M28" s="26" t="s">
        <v>835</v>
      </c>
      <c r="N28" s="26" t="s">
        <v>100</v>
      </c>
      <c r="O28" s="26" t="s">
        <v>1628</v>
      </c>
      <c r="P28" s="26" t="s">
        <v>1629</v>
      </c>
      <c r="Q28" s="26" t="s">
        <v>1630</v>
      </c>
      <c r="R28" s="26" t="s">
        <v>1631</v>
      </c>
      <c r="S28" s="26" t="s">
        <v>144</v>
      </c>
      <c r="T28" s="26" t="s">
        <v>115</v>
      </c>
      <c r="U28" s="26" t="s">
        <v>145</v>
      </c>
      <c r="V28" s="26" t="s">
        <v>1632</v>
      </c>
      <c r="W28" s="40">
        <v>3.0</v>
      </c>
      <c r="X28" s="40">
        <v>3.0</v>
      </c>
      <c r="Y28" s="40">
        <v>4.0</v>
      </c>
      <c r="Z28" s="40">
        <v>4.0</v>
      </c>
      <c r="AA28" s="40">
        <v>4.0</v>
      </c>
      <c r="AB28" s="40">
        <v>4.0</v>
      </c>
      <c r="AC28" s="40">
        <v>4.0</v>
      </c>
      <c r="AD28" s="40">
        <v>4.0</v>
      </c>
      <c r="AE28" s="28">
        <f t="shared" si="1"/>
        <v>30</v>
      </c>
      <c r="AF28" s="38" t="s">
        <v>195</v>
      </c>
      <c r="AG28" s="39" t="s">
        <v>1633</v>
      </c>
      <c r="AH28" s="29" t="str">
        <f t="shared" si="2"/>
        <v>Complete</v>
      </c>
    </row>
    <row r="29" ht="408.75" customHeight="1">
      <c r="A29" s="32">
        <v>325.0</v>
      </c>
      <c r="B29" s="33" t="str">
        <f>HYPERLINK("https://github.com/pytorch-fdn/ambassador-program/issues/325","https://github.com/pytorch-fdn/ambassador-program/issues/325")</f>
        <v>https://github.com/pytorch-fdn/ambassador-program/issues/325</v>
      </c>
      <c r="C29" s="32" t="s">
        <v>1573</v>
      </c>
      <c r="D29" s="32" t="s">
        <v>1574</v>
      </c>
      <c r="E29" s="32" t="s">
        <v>1576</v>
      </c>
      <c r="F29" s="32" t="s">
        <v>261</v>
      </c>
      <c r="G29" s="32" t="s">
        <v>1578</v>
      </c>
      <c r="H29" s="32" t="s">
        <v>98</v>
      </c>
      <c r="I29" s="32" t="s">
        <v>100</v>
      </c>
      <c r="J29" s="32" t="s">
        <v>1580</v>
      </c>
      <c r="K29" s="32" t="s">
        <v>1581</v>
      </c>
      <c r="L29" s="32" t="s">
        <v>1582</v>
      </c>
      <c r="M29" s="32" t="s">
        <v>273</v>
      </c>
      <c r="N29" s="32" t="s">
        <v>100</v>
      </c>
      <c r="O29" s="32" t="s">
        <v>134</v>
      </c>
      <c r="P29" s="32" t="s">
        <v>1584</v>
      </c>
      <c r="Q29" s="32" t="s">
        <v>1587</v>
      </c>
      <c r="R29" s="32" t="s">
        <v>1588</v>
      </c>
      <c r="S29" s="32" t="s">
        <v>144</v>
      </c>
      <c r="T29" s="32" t="s">
        <v>121</v>
      </c>
      <c r="U29" s="32" t="s">
        <v>255</v>
      </c>
      <c r="V29" s="32" t="s">
        <v>1591</v>
      </c>
      <c r="W29" s="37">
        <v>3.0</v>
      </c>
      <c r="X29" s="37">
        <v>3.0</v>
      </c>
      <c r="Y29" s="37">
        <v>3.0</v>
      </c>
      <c r="Z29" s="37">
        <v>3.0</v>
      </c>
      <c r="AA29" s="37">
        <v>4.0</v>
      </c>
      <c r="AB29" s="37">
        <v>4.0</v>
      </c>
      <c r="AC29" s="37">
        <v>4.0</v>
      </c>
      <c r="AD29" s="37">
        <v>4.0</v>
      </c>
      <c r="AE29" s="34">
        <f t="shared" si="1"/>
        <v>28</v>
      </c>
      <c r="AF29" s="38" t="s">
        <v>195</v>
      </c>
      <c r="AG29" s="39" t="s">
        <v>1635</v>
      </c>
      <c r="AH29" s="35" t="str">
        <f t="shared" si="2"/>
        <v>Complete</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1634</v>
      </c>
    </row>
    <row r="2" ht="27.75" customHeight="1">
      <c r="A2" s="2" t="s">
        <v>51</v>
      </c>
    </row>
    <row r="3">
      <c r="A3" s="14" t="s">
        <v>53</v>
      </c>
      <c r="W3" s="15" t="s">
        <v>54</v>
      </c>
    </row>
    <row r="4" ht="96.75"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6" t="s">
        <v>85</v>
      </c>
      <c r="AE4" s="19" t="s">
        <v>86</v>
      </c>
      <c r="AF4" s="16" t="s">
        <v>87</v>
      </c>
      <c r="AG4" s="16" t="s">
        <v>88</v>
      </c>
      <c r="AH4" s="19" t="s">
        <v>89</v>
      </c>
    </row>
    <row r="5" ht="126.0" customHeight="1">
      <c r="A5" s="20">
        <v>467.0</v>
      </c>
      <c r="B5" s="21" t="str">
        <f>HYPERLINK("https://github.com/pytorch-fdn/ambassador-program/issues/467","https://github.com/pytorch-fdn/ambassador-program/issues/467")</f>
        <v>https://github.com/pytorch-fdn/ambassador-program/issues/467</v>
      </c>
      <c r="C5" s="20" t="s">
        <v>220</v>
      </c>
      <c r="D5" s="20" t="s">
        <v>221</v>
      </c>
      <c r="E5" s="20" t="s">
        <v>223</v>
      </c>
      <c r="F5" s="20" t="s">
        <v>95</v>
      </c>
      <c r="G5" s="20" t="s">
        <v>226</v>
      </c>
      <c r="H5" s="20" t="s">
        <v>103</v>
      </c>
      <c r="I5" s="20" t="s">
        <v>100</v>
      </c>
      <c r="J5" s="20" t="s">
        <v>230</v>
      </c>
      <c r="K5" s="20" t="s">
        <v>100</v>
      </c>
      <c r="L5" s="20" t="s">
        <v>100</v>
      </c>
      <c r="M5" s="20" t="s">
        <v>232</v>
      </c>
      <c r="N5" s="20" t="s">
        <v>100</v>
      </c>
      <c r="O5" s="20" t="s">
        <v>235</v>
      </c>
      <c r="P5" s="20" t="s">
        <v>237</v>
      </c>
      <c r="Q5" s="20" t="s">
        <v>240</v>
      </c>
      <c r="R5" s="20" t="s">
        <v>242</v>
      </c>
      <c r="S5" s="20" t="s">
        <v>244</v>
      </c>
      <c r="T5" s="20" t="s">
        <v>115</v>
      </c>
      <c r="U5" s="20" t="s">
        <v>145</v>
      </c>
      <c r="V5" s="20" t="s">
        <v>118</v>
      </c>
      <c r="W5" s="22">
        <v>1.0</v>
      </c>
      <c r="X5" s="22">
        <v>1.0</v>
      </c>
      <c r="Y5" s="22">
        <v>1.0</v>
      </c>
      <c r="Z5" s="22">
        <v>2.0</v>
      </c>
      <c r="AA5" s="22">
        <v>1.0</v>
      </c>
      <c r="AB5" s="22">
        <v>2.0</v>
      </c>
      <c r="AC5" s="22">
        <v>3.0</v>
      </c>
      <c r="AD5" s="22">
        <v>1.0</v>
      </c>
      <c r="AE5" s="23">
        <f t="shared" ref="AE5:AE29" si="1">IF(COUNT(W5:AD5)=8,SUM(W5:AD5),"")</f>
        <v>12</v>
      </c>
      <c r="AF5" s="24" t="s">
        <v>124</v>
      </c>
      <c r="AG5" s="24" t="s">
        <v>1636</v>
      </c>
      <c r="AH5" s="25" t="str">
        <f t="shared" ref="AH5:AH29" si="2">IF(AND(COUNT(W5:AD5)=0,AF5="",AG5=""),"Not Started",IF(AF5="Abstain (Conflict of Interest)",IF(AG5&lt;&gt;"","Reassignment Required","Add Conflict Note"),IF(AND(COUNT(W5:AD5)=8,AF5&lt;&gt;"",AG5&lt;&gt;""),"Complete","In Progress")))</f>
        <v>Complete</v>
      </c>
    </row>
    <row r="6" ht="408.75" customHeight="1">
      <c r="A6" s="26">
        <v>463.0</v>
      </c>
      <c r="B6" s="27" t="str">
        <f>HYPERLINK("https://github.com/pytorch-fdn/ambassador-program/issues/463","https://github.com/pytorch-fdn/ambassador-program/issues/463")</f>
        <v>https://github.com/pytorch-fdn/ambassador-program/issues/463</v>
      </c>
      <c r="C6" s="26" t="s">
        <v>256</v>
      </c>
      <c r="D6" s="26" t="s">
        <v>258</v>
      </c>
      <c r="E6" s="26" t="s">
        <v>260</v>
      </c>
      <c r="F6" s="26" t="s">
        <v>261</v>
      </c>
      <c r="G6" s="26" t="s">
        <v>264</v>
      </c>
      <c r="H6" s="26" t="s">
        <v>103</v>
      </c>
      <c r="I6" s="26" t="s">
        <v>100</v>
      </c>
      <c r="J6" s="26" t="s">
        <v>266</v>
      </c>
      <c r="K6" s="26" t="s">
        <v>100</v>
      </c>
      <c r="L6" s="26" t="s">
        <v>100</v>
      </c>
      <c r="M6" s="26" t="s">
        <v>162</v>
      </c>
      <c r="N6" s="26" t="s">
        <v>100</v>
      </c>
      <c r="O6" s="26" t="s">
        <v>272</v>
      </c>
      <c r="P6" s="26" t="s">
        <v>275</v>
      </c>
      <c r="Q6" s="26" t="s">
        <v>277</v>
      </c>
      <c r="R6" s="26" t="s">
        <v>278</v>
      </c>
      <c r="S6" s="26" t="s">
        <v>144</v>
      </c>
      <c r="T6" s="26" t="s">
        <v>115</v>
      </c>
      <c r="U6" s="26" t="s">
        <v>280</v>
      </c>
      <c r="V6" s="26" t="s">
        <v>118</v>
      </c>
      <c r="W6" s="22">
        <v>2.0</v>
      </c>
      <c r="X6" s="22">
        <v>1.0</v>
      </c>
      <c r="Y6" s="22">
        <v>1.0</v>
      </c>
      <c r="Z6" s="22">
        <v>1.0</v>
      </c>
      <c r="AA6" s="22">
        <v>1.0</v>
      </c>
      <c r="AB6" s="22">
        <v>4.0</v>
      </c>
      <c r="AC6" s="22">
        <v>2.0</v>
      </c>
      <c r="AD6" s="22">
        <v>2.0</v>
      </c>
      <c r="AE6" s="28">
        <f t="shared" si="1"/>
        <v>14</v>
      </c>
      <c r="AF6" s="24" t="s">
        <v>124</v>
      </c>
      <c r="AG6" s="24" t="s">
        <v>1637</v>
      </c>
      <c r="AH6" s="29" t="str">
        <f t="shared" si="2"/>
        <v>Complete</v>
      </c>
    </row>
    <row r="7" ht="408.75" customHeight="1">
      <c r="A7" s="26">
        <v>455.0</v>
      </c>
      <c r="B7" s="27" t="str">
        <f>HYPERLINK("https://github.com/pytorch-fdn/ambassador-program/issues/455","https://github.com/pytorch-fdn/ambassador-program/issues/455")</f>
        <v>https://github.com/pytorch-fdn/ambassador-program/issues/455</v>
      </c>
      <c r="C7" s="26" t="s">
        <v>311</v>
      </c>
      <c r="D7" s="26" t="s">
        <v>314</v>
      </c>
      <c r="E7" s="26" t="s">
        <v>316</v>
      </c>
      <c r="F7" s="26" t="s">
        <v>261</v>
      </c>
      <c r="G7" s="26" t="s">
        <v>319</v>
      </c>
      <c r="H7" s="26" t="s">
        <v>103</v>
      </c>
      <c r="I7" s="26" t="s">
        <v>100</v>
      </c>
      <c r="J7" s="26" t="s">
        <v>320</v>
      </c>
      <c r="K7" s="26" t="s">
        <v>100</v>
      </c>
      <c r="L7" s="26" t="s">
        <v>100</v>
      </c>
      <c r="M7" s="26" t="s">
        <v>325</v>
      </c>
      <c r="N7" s="26" t="s">
        <v>100</v>
      </c>
      <c r="O7" s="26" t="s">
        <v>328</v>
      </c>
      <c r="P7" s="26" t="s">
        <v>333</v>
      </c>
      <c r="Q7" s="26" t="s">
        <v>336</v>
      </c>
      <c r="R7" s="26" t="s">
        <v>345</v>
      </c>
      <c r="S7" s="26" t="s">
        <v>144</v>
      </c>
      <c r="T7" s="26" t="s">
        <v>121</v>
      </c>
      <c r="U7" s="26" t="s">
        <v>255</v>
      </c>
      <c r="V7" s="26" t="s">
        <v>353</v>
      </c>
      <c r="W7" s="22">
        <v>5.0</v>
      </c>
      <c r="X7" s="22">
        <v>5.0</v>
      </c>
      <c r="Y7" s="22">
        <v>5.0</v>
      </c>
      <c r="Z7" s="22">
        <v>5.0</v>
      </c>
      <c r="AA7" s="22">
        <v>5.0</v>
      </c>
      <c r="AB7" s="22">
        <v>5.0</v>
      </c>
      <c r="AC7" s="22">
        <v>5.0</v>
      </c>
      <c r="AD7" s="22">
        <v>5.0</v>
      </c>
      <c r="AE7" s="28">
        <f t="shared" si="1"/>
        <v>40</v>
      </c>
      <c r="AF7" s="24" t="s">
        <v>164</v>
      </c>
      <c r="AG7" s="24" t="s">
        <v>1638</v>
      </c>
      <c r="AH7" s="29" t="str">
        <f t="shared" si="2"/>
        <v>Complete</v>
      </c>
    </row>
    <row r="8" ht="408.75" customHeight="1">
      <c r="A8" s="26">
        <v>454.0</v>
      </c>
      <c r="B8" s="27" t="str">
        <f>HYPERLINK("https://github.com/pytorch-fdn/ambassador-program/issues/454","https://github.com/pytorch-fdn/ambassador-program/issues/454")</f>
        <v>https://github.com/pytorch-fdn/ambassador-program/issues/454</v>
      </c>
      <c r="C8" s="26" t="s">
        <v>1184</v>
      </c>
      <c r="D8" s="26" t="s">
        <v>1185</v>
      </c>
      <c r="E8" s="26" t="s">
        <v>531</v>
      </c>
      <c r="F8" s="26" t="s">
        <v>261</v>
      </c>
      <c r="G8" s="26" t="s">
        <v>1186</v>
      </c>
      <c r="H8" s="26" t="s">
        <v>103</v>
      </c>
      <c r="I8" s="26" t="s">
        <v>100</v>
      </c>
      <c r="J8" s="26" t="s">
        <v>1187</v>
      </c>
      <c r="K8" s="26" t="s">
        <v>1188</v>
      </c>
      <c r="L8" s="26" t="s">
        <v>100</v>
      </c>
      <c r="M8" s="26" t="s">
        <v>162</v>
      </c>
      <c r="N8" s="26" t="s">
        <v>100</v>
      </c>
      <c r="O8" s="26" t="s">
        <v>1189</v>
      </c>
      <c r="P8" s="26" t="s">
        <v>1190</v>
      </c>
      <c r="Q8" s="26" t="s">
        <v>1191</v>
      </c>
      <c r="R8" s="26" t="s">
        <v>1192</v>
      </c>
      <c r="S8" s="26" t="s">
        <v>1194</v>
      </c>
      <c r="T8" s="26" t="s">
        <v>551</v>
      </c>
      <c r="U8" s="26" t="s">
        <v>552</v>
      </c>
      <c r="V8" s="26" t="s">
        <v>1195</v>
      </c>
      <c r="W8" s="22">
        <v>1.0</v>
      </c>
      <c r="X8" s="22">
        <v>2.0</v>
      </c>
      <c r="Y8" s="22">
        <v>1.0</v>
      </c>
      <c r="Z8" s="22">
        <v>2.0</v>
      </c>
      <c r="AA8" s="22">
        <v>3.0</v>
      </c>
      <c r="AB8" s="22">
        <v>4.0</v>
      </c>
      <c r="AC8" s="22">
        <v>2.0</v>
      </c>
      <c r="AD8" s="22">
        <v>2.0</v>
      </c>
      <c r="AE8" s="28">
        <f t="shared" si="1"/>
        <v>17</v>
      </c>
      <c r="AF8" s="24" t="s">
        <v>303</v>
      </c>
      <c r="AG8" s="24" t="s">
        <v>1639</v>
      </c>
      <c r="AH8" s="29" t="str">
        <f t="shared" si="2"/>
        <v>Complete</v>
      </c>
    </row>
    <row r="9" ht="132.0" customHeight="1">
      <c r="A9" s="26">
        <v>446.0</v>
      </c>
      <c r="B9" s="27" t="str">
        <f>HYPERLINK("https://github.com/pytorch-fdn/ambassador-program/issues/446","https://github.com/pytorch-fdn/ambassador-program/issues/446")</f>
        <v>https://github.com/pytorch-fdn/ambassador-program/issues/446</v>
      </c>
      <c r="C9" s="26" t="s">
        <v>312</v>
      </c>
      <c r="D9" s="26" t="s">
        <v>315</v>
      </c>
      <c r="E9" s="26" t="s">
        <v>317</v>
      </c>
      <c r="F9" s="26" t="s">
        <v>175</v>
      </c>
      <c r="G9" s="26" t="s">
        <v>321</v>
      </c>
      <c r="H9" s="26" t="s">
        <v>103</v>
      </c>
      <c r="I9" s="26" t="s">
        <v>100</v>
      </c>
      <c r="J9" s="26" t="s">
        <v>327</v>
      </c>
      <c r="K9" s="26" t="s">
        <v>331</v>
      </c>
      <c r="L9" s="26" t="s">
        <v>100</v>
      </c>
      <c r="M9" s="26" t="s">
        <v>108</v>
      </c>
      <c r="N9" s="26" t="s">
        <v>100</v>
      </c>
      <c r="O9" s="26" t="s">
        <v>337</v>
      </c>
      <c r="P9" s="26" t="s">
        <v>339</v>
      </c>
      <c r="Q9" s="26" t="s">
        <v>343</v>
      </c>
      <c r="R9" s="26" t="s">
        <v>347</v>
      </c>
      <c r="S9" s="26" t="s">
        <v>350</v>
      </c>
      <c r="T9" s="26" t="s">
        <v>115</v>
      </c>
      <c r="U9" s="26" t="s">
        <v>145</v>
      </c>
      <c r="V9" s="26" t="s">
        <v>352</v>
      </c>
      <c r="W9" s="22">
        <v>1.0</v>
      </c>
      <c r="X9" s="22">
        <v>3.0</v>
      </c>
      <c r="Y9" s="22">
        <v>2.0</v>
      </c>
      <c r="Z9" s="22">
        <v>2.0</v>
      </c>
      <c r="AA9" s="22">
        <v>4.0</v>
      </c>
      <c r="AB9" s="22">
        <v>4.0</v>
      </c>
      <c r="AC9" s="22">
        <v>2.0</v>
      </c>
      <c r="AD9" s="22">
        <v>2.0</v>
      </c>
      <c r="AE9" s="28">
        <f t="shared" si="1"/>
        <v>20</v>
      </c>
      <c r="AF9" s="24" t="s">
        <v>303</v>
      </c>
      <c r="AG9" s="24" t="s">
        <v>1640</v>
      </c>
      <c r="AH9" s="29" t="str">
        <f t="shared" si="2"/>
        <v>Complete</v>
      </c>
    </row>
    <row r="10" ht="396.0" customHeight="1">
      <c r="A10" s="26">
        <v>442.0</v>
      </c>
      <c r="B10" s="27" t="str">
        <f>HYPERLINK("https://github.com/pytorch-fdn/ambassador-program/issues/442","https://github.com/pytorch-fdn/ambassador-program/issues/442")</f>
        <v>https://github.com/pytorch-fdn/ambassador-program/issues/442</v>
      </c>
      <c r="C10" s="26" t="s">
        <v>455</v>
      </c>
      <c r="D10" s="26" t="s">
        <v>456</v>
      </c>
      <c r="E10" s="26" t="s">
        <v>457</v>
      </c>
      <c r="F10" s="26" t="s">
        <v>175</v>
      </c>
      <c r="G10" s="26" t="s">
        <v>458</v>
      </c>
      <c r="H10" s="26" t="s">
        <v>103</v>
      </c>
      <c r="I10" s="26" t="s">
        <v>100</v>
      </c>
      <c r="J10" s="26" t="s">
        <v>459</v>
      </c>
      <c r="K10" s="26" t="s">
        <v>100</v>
      </c>
      <c r="L10" s="26" t="s">
        <v>100</v>
      </c>
      <c r="M10" s="26" t="s">
        <v>162</v>
      </c>
      <c r="N10" s="26" t="s">
        <v>100</v>
      </c>
      <c r="O10" s="26" t="s">
        <v>460</v>
      </c>
      <c r="P10" s="26" t="s">
        <v>462</v>
      </c>
      <c r="Q10" s="26" t="s">
        <v>464</v>
      </c>
      <c r="R10" s="26" t="s">
        <v>465</v>
      </c>
      <c r="S10" s="26" t="s">
        <v>346</v>
      </c>
      <c r="T10" s="26" t="s">
        <v>115</v>
      </c>
      <c r="U10" s="26" t="s">
        <v>145</v>
      </c>
      <c r="V10" s="26" t="s">
        <v>118</v>
      </c>
      <c r="W10" s="22">
        <v>1.0</v>
      </c>
      <c r="X10" s="22">
        <v>3.0</v>
      </c>
      <c r="Y10" s="22">
        <v>4.0</v>
      </c>
      <c r="Z10" s="22">
        <v>4.0</v>
      </c>
      <c r="AA10" s="22">
        <v>4.0</v>
      </c>
      <c r="AB10" s="22">
        <v>5.0</v>
      </c>
      <c r="AC10" s="22">
        <v>3.0</v>
      </c>
      <c r="AD10" s="22">
        <v>3.0</v>
      </c>
      <c r="AE10" s="28">
        <f t="shared" si="1"/>
        <v>27</v>
      </c>
      <c r="AF10" s="24" t="s">
        <v>195</v>
      </c>
      <c r="AG10" s="24" t="s">
        <v>1643</v>
      </c>
      <c r="AH10" s="29" t="str">
        <f t="shared" si="2"/>
        <v>Complete</v>
      </c>
    </row>
    <row r="11" ht="126.0" customHeight="1">
      <c r="A11" s="26">
        <v>440.0</v>
      </c>
      <c r="B11" s="27" t="str">
        <f>HYPERLINK("https://github.com/pytorch-fdn/ambassador-program/issues/440","https://github.com/pytorch-fdn/ambassador-program/issues/440")</f>
        <v>https://github.com/pytorch-fdn/ambassador-program/issues/440</v>
      </c>
      <c r="C11" s="26" t="s">
        <v>358</v>
      </c>
      <c r="D11" s="26" t="s">
        <v>360</v>
      </c>
      <c r="E11" s="26" t="s">
        <v>361</v>
      </c>
      <c r="F11" s="26" t="s">
        <v>261</v>
      </c>
      <c r="G11" s="26" t="s">
        <v>363</v>
      </c>
      <c r="H11" s="26" t="s">
        <v>103</v>
      </c>
      <c r="I11" s="26" t="s">
        <v>100</v>
      </c>
      <c r="J11" s="26" t="s">
        <v>100</v>
      </c>
      <c r="K11" s="26" t="s">
        <v>100</v>
      </c>
      <c r="L11" s="26" t="s">
        <v>370</v>
      </c>
      <c r="M11" s="26" t="s">
        <v>373</v>
      </c>
      <c r="N11" s="26" t="s">
        <v>376</v>
      </c>
      <c r="O11" s="26" t="s">
        <v>377</v>
      </c>
      <c r="P11" s="26" t="s">
        <v>378</v>
      </c>
      <c r="Q11" s="26" t="s">
        <v>383</v>
      </c>
      <c r="R11" s="26" t="s">
        <v>384</v>
      </c>
      <c r="S11" s="26" t="s">
        <v>388</v>
      </c>
      <c r="T11" s="26" t="s">
        <v>121</v>
      </c>
      <c r="U11" s="26" t="s">
        <v>255</v>
      </c>
      <c r="V11" s="26"/>
      <c r="W11" s="22">
        <v>4.0</v>
      </c>
      <c r="X11" s="22">
        <v>3.0</v>
      </c>
      <c r="Y11" s="22">
        <v>3.0</v>
      </c>
      <c r="Z11" s="22">
        <v>2.0</v>
      </c>
      <c r="AA11" s="22">
        <v>2.0</v>
      </c>
      <c r="AB11" s="22">
        <v>2.0</v>
      </c>
      <c r="AC11" s="22">
        <v>3.0</v>
      </c>
      <c r="AD11" s="22">
        <v>4.0</v>
      </c>
      <c r="AE11" s="28">
        <f t="shared" si="1"/>
        <v>23</v>
      </c>
      <c r="AF11" s="24" t="s">
        <v>303</v>
      </c>
      <c r="AG11" s="24" t="s">
        <v>1645</v>
      </c>
      <c r="AH11" s="29" t="str">
        <f t="shared" si="2"/>
        <v>Complete</v>
      </c>
    </row>
    <row r="12" ht="264.0" customHeight="1">
      <c r="A12" s="26">
        <v>425.0</v>
      </c>
      <c r="B12" s="27" t="str">
        <f>HYPERLINK("https://github.com/pytorch-fdn/ambassador-program/issues/425","https://github.com/pytorch-fdn/ambassador-program/issues/425")</f>
        <v>https://github.com/pytorch-fdn/ambassador-program/issues/425</v>
      </c>
      <c r="C12" s="26" t="s">
        <v>1243</v>
      </c>
      <c r="D12" s="26" t="s">
        <v>1244</v>
      </c>
      <c r="E12" s="26" t="s">
        <v>1245</v>
      </c>
      <c r="F12" s="26" t="s">
        <v>99</v>
      </c>
      <c r="G12" s="26" t="s">
        <v>1247</v>
      </c>
      <c r="H12" s="26" t="s">
        <v>103</v>
      </c>
      <c r="I12" s="26" t="s">
        <v>100</v>
      </c>
      <c r="J12" s="26" t="s">
        <v>1248</v>
      </c>
      <c r="K12" s="26" t="s">
        <v>100</v>
      </c>
      <c r="L12" s="26" t="s">
        <v>100</v>
      </c>
      <c r="M12" s="26" t="s">
        <v>1249</v>
      </c>
      <c r="N12" s="26" t="s">
        <v>1250</v>
      </c>
      <c r="O12" s="26" t="s">
        <v>1252</v>
      </c>
      <c r="P12" s="26" t="s">
        <v>1255</v>
      </c>
      <c r="Q12" s="26" t="s">
        <v>1257</v>
      </c>
      <c r="R12" s="26" t="s">
        <v>1260</v>
      </c>
      <c r="S12" s="26" t="s">
        <v>1261</v>
      </c>
      <c r="T12" s="26" t="s">
        <v>115</v>
      </c>
      <c r="U12" s="26" t="s">
        <v>145</v>
      </c>
      <c r="V12" s="26" t="s">
        <v>118</v>
      </c>
      <c r="W12" s="22">
        <v>1.0</v>
      </c>
      <c r="X12" s="22">
        <v>1.0</v>
      </c>
      <c r="Y12" s="22">
        <v>1.0</v>
      </c>
      <c r="Z12" s="22">
        <v>1.0</v>
      </c>
      <c r="AA12" s="22">
        <v>5.0</v>
      </c>
      <c r="AB12" s="22">
        <v>5.0</v>
      </c>
      <c r="AC12" s="22">
        <v>2.0</v>
      </c>
      <c r="AD12" s="22">
        <v>2.0</v>
      </c>
      <c r="AE12" s="28">
        <f t="shared" si="1"/>
        <v>18</v>
      </c>
      <c r="AF12" s="24" t="s">
        <v>303</v>
      </c>
      <c r="AG12" s="24" t="s">
        <v>1646</v>
      </c>
      <c r="AH12" s="29" t="str">
        <f t="shared" si="2"/>
        <v>Complete</v>
      </c>
    </row>
    <row r="13" ht="312.0" customHeight="1">
      <c r="A13" s="26">
        <v>412.0</v>
      </c>
      <c r="B13" s="27" t="str">
        <f>HYPERLINK("https://github.com/pytorch-fdn/ambassador-program/issues/412","https://github.com/pytorch-fdn/ambassador-program/issues/412")</f>
        <v>https://github.com/pytorch-fdn/ambassador-program/issues/412</v>
      </c>
      <c r="C13" s="26" t="s">
        <v>1647</v>
      </c>
      <c r="D13" s="26" t="s">
        <v>1648</v>
      </c>
      <c r="E13" s="26" t="s">
        <v>1649</v>
      </c>
      <c r="F13" s="26" t="s">
        <v>95</v>
      </c>
      <c r="G13" s="26" t="s">
        <v>1650</v>
      </c>
      <c r="H13" s="26" t="s">
        <v>103</v>
      </c>
      <c r="I13" s="26" t="s">
        <v>100</v>
      </c>
      <c r="J13" s="26" t="s">
        <v>1651</v>
      </c>
      <c r="K13" s="26" t="s">
        <v>100</v>
      </c>
      <c r="L13" s="26" t="s">
        <v>100</v>
      </c>
      <c r="M13" s="26" t="s">
        <v>835</v>
      </c>
      <c r="N13" s="26" t="s">
        <v>100</v>
      </c>
      <c r="O13" s="26" t="s">
        <v>1652</v>
      </c>
      <c r="P13" s="26" t="s">
        <v>1653</v>
      </c>
      <c r="Q13" s="26" t="s">
        <v>1654</v>
      </c>
      <c r="R13" s="26" t="s">
        <v>1655</v>
      </c>
      <c r="S13" s="26" t="s">
        <v>144</v>
      </c>
      <c r="T13" s="26" t="s">
        <v>121</v>
      </c>
      <c r="U13" s="26" t="s">
        <v>255</v>
      </c>
      <c r="V13" s="26" t="s">
        <v>118</v>
      </c>
      <c r="W13" s="22">
        <v>3.0</v>
      </c>
      <c r="X13" s="22">
        <v>3.0</v>
      </c>
      <c r="Y13" s="22">
        <v>2.0</v>
      </c>
      <c r="Z13" s="22">
        <v>2.0</v>
      </c>
      <c r="AA13" s="22">
        <v>4.0</v>
      </c>
      <c r="AB13" s="22">
        <v>4.0</v>
      </c>
      <c r="AC13" s="22">
        <v>3.0</v>
      </c>
      <c r="AD13" s="22">
        <v>3.0</v>
      </c>
      <c r="AE13" s="28">
        <f t="shared" si="1"/>
        <v>24</v>
      </c>
      <c r="AF13" s="24" t="s">
        <v>195</v>
      </c>
      <c r="AG13" s="24" t="s">
        <v>1656</v>
      </c>
      <c r="AH13" s="29" t="str">
        <f t="shared" si="2"/>
        <v>Complete</v>
      </c>
    </row>
    <row r="14" ht="408.75" customHeight="1">
      <c r="A14" s="26">
        <v>411.0</v>
      </c>
      <c r="B14" s="27" t="str">
        <f>HYPERLINK("https://github.com/pytorch-fdn/ambassador-program/issues/411","https://github.com/pytorch-fdn/ambassador-program/issues/411")</f>
        <v>https://github.com/pytorch-fdn/ambassador-program/issues/411</v>
      </c>
      <c r="C14" s="26" t="s">
        <v>1197</v>
      </c>
      <c r="D14" s="26" t="s">
        <v>1198</v>
      </c>
      <c r="E14" s="26" t="s">
        <v>1199</v>
      </c>
      <c r="F14" s="26" t="s">
        <v>175</v>
      </c>
      <c r="G14" s="26" t="s">
        <v>1200</v>
      </c>
      <c r="H14" s="26" t="s">
        <v>103</v>
      </c>
      <c r="I14" s="26" t="s">
        <v>100</v>
      </c>
      <c r="J14" s="26" t="s">
        <v>1201</v>
      </c>
      <c r="K14" s="26" t="s">
        <v>1202</v>
      </c>
      <c r="L14" s="26" t="s">
        <v>100</v>
      </c>
      <c r="M14" s="26" t="s">
        <v>1005</v>
      </c>
      <c r="N14" s="26" t="s">
        <v>100</v>
      </c>
      <c r="O14" s="26" t="s">
        <v>680</v>
      </c>
      <c r="P14" s="26" t="s">
        <v>1204</v>
      </c>
      <c r="Q14" s="26" t="s">
        <v>1205</v>
      </c>
      <c r="R14" s="26" t="s">
        <v>1206</v>
      </c>
      <c r="S14" s="26" t="s">
        <v>1208</v>
      </c>
      <c r="T14" s="26" t="s">
        <v>115</v>
      </c>
      <c r="U14" s="26" t="s">
        <v>922</v>
      </c>
      <c r="V14" s="26" t="s">
        <v>1209</v>
      </c>
      <c r="W14" s="22">
        <v>3.0</v>
      </c>
      <c r="X14" s="22">
        <v>2.0</v>
      </c>
      <c r="Y14" s="22">
        <v>2.0</v>
      </c>
      <c r="Z14" s="22">
        <v>3.0</v>
      </c>
      <c r="AA14" s="22">
        <v>4.0</v>
      </c>
      <c r="AB14" s="22">
        <v>4.0</v>
      </c>
      <c r="AC14" s="22">
        <v>4.0</v>
      </c>
      <c r="AD14" s="22">
        <v>3.0</v>
      </c>
      <c r="AE14" s="28">
        <f t="shared" si="1"/>
        <v>25</v>
      </c>
      <c r="AF14" s="24" t="s">
        <v>195</v>
      </c>
      <c r="AG14" s="24" t="s">
        <v>1665</v>
      </c>
      <c r="AH14" s="29" t="str">
        <f t="shared" si="2"/>
        <v>Complete</v>
      </c>
    </row>
    <row r="15" ht="300.0" customHeight="1">
      <c r="A15" s="26">
        <v>406.0</v>
      </c>
      <c r="B15" s="27" t="str">
        <f>HYPERLINK("https://github.com/pytorch-fdn/ambassador-program/issues/406","https://github.com/pytorch-fdn/ambassador-program/issues/406")</f>
        <v>https://github.com/pytorch-fdn/ambassador-program/issues/406</v>
      </c>
      <c r="C15" s="26" t="s">
        <v>1670</v>
      </c>
      <c r="D15" s="26" t="s">
        <v>1671</v>
      </c>
      <c r="E15" s="26" t="s">
        <v>1672</v>
      </c>
      <c r="F15" s="26" t="s">
        <v>95</v>
      </c>
      <c r="G15" s="26" t="s">
        <v>1673</v>
      </c>
      <c r="H15" s="26" t="s">
        <v>103</v>
      </c>
      <c r="I15" s="26" t="s">
        <v>100</v>
      </c>
      <c r="J15" s="26" t="s">
        <v>100</v>
      </c>
      <c r="K15" s="26" t="s">
        <v>100</v>
      </c>
      <c r="L15" s="26" t="s">
        <v>100</v>
      </c>
      <c r="M15" s="26" t="s">
        <v>162</v>
      </c>
      <c r="N15" s="26" t="s">
        <v>100</v>
      </c>
      <c r="O15" s="26" t="s">
        <v>680</v>
      </c>
      <c r="P15" s="26" t="s">
        <v>1675</v>
      </c>
      <c r="Q15" s="26" t="s">
        <v>1676</v>
      </c>
      <c r="R15" s="26" t="s">
        <v>1677</v>
      </c>
      <c r="S15" s="26" t="s">
        <v>144</v>
      </c>
      <c r="T15" s="26" t="s">
        <v>115</v>
      </c>
      <c r="U15" s="26" t="s">
        <v>247</v>
      </c>
      <c r="V15" s="26" t="s">
        <v>118</v>
      </c>
      <c r="W15" s="22">
        <v>2.0</v>
      </c>
      <c r="X15" s="22">
        <v>3.0</v>
      </c>
      <c r="Y15" s="22">
        <v>2.0</v>
      </c>
      <c r="Z15" s="22">
        <v>2.0</v>
      </c>
      <c r="AA15" s="22">
        <v>3.0</v>
      </c>
      <c r="AB15" s="22">
        <v>3.0</v>
      </c>
      <c r="AC15" s="22">
        <v>2.0</v>
      </c>
      <c r="AD15" s="22">
        <v>2.0</v>
      </c>
      <c r="AE15" s="28">
        <f t="shared" si="1"/>
        <v>19</v>
      </c>
      <c r="AF15" s="24" t="s">
        <v>303</v>
      </c>
      <c r="AG15" s="24" t="s">
        <v>1678</v>
      </c>
      <c r="AH15" s="29" t="str">
        <f t="shared" si="2"/>
        <v>Complete</v>
      </c>
    </row>
    <row r="16" ht="408.75" customHeight="1">
      <c r="A16" s="26">
        <v>402.0</v>
      </c>
      <c r="B16" s="27" t="str">
        <f>HYPERLINK("https://github.com/pytorch-fdn/ambassador-program/issues/402","https://github.com/pytorch-fdn/ambassador-program/issues/402")</f>
        <v>https://github.com/pytorch-fdn/ambassador-program/issues/402</v>
      </c>
      <c r="C16" s="26" t="s">
        <v>1452</v>
      </c>
      <c r="D16" s="26" t="s">
        <v>1453</v>
      </c>
      <c r="E16" s="26" t="s">
        <v>1454</v>
      </c>
      <c r="F16" s="26" t="s">
        <v>261</v>
      </c>
      <c r="G16" s="26" t="s">
        <v>1455</v>
      </c>
      <c r="H16" s="26" t="s">
        <v>98</v>
      </c>
      <c r="I16" s="26" t="s">
        <v>100</v>
      </c>
      <c r="J16" s="26" t="s">
        <v>1456</v>
      </c>
      <c r="K16" s="26" t="s">
        <v>1457</v>
      </c>
      <c r="L16" s="26" t="s">
        <v>1458</v>
      </c>
      <c r="M16" s="26" t="s">
        <v>162</v>
      </c>
      <c r="N16" s="26" t="s">
        <v>100</v>
      </c>
      <c r="O16" s="26" t="s">
        <v>1440</v>
      </c>
      <c r="P16" s="26" t="s">
        <v>1463</v>
      </c>
      <c r="Q16" s="26" t="s">
        <v>1464</v>
      </c>
      <c r="R16" s="26" t="s">
        <v>1467</v>
      </c>
      <c r="S16" s="26" t="s">
        <v>880</v>
      </c>
      <c r="T16" s="26" t="s">
        <v>158</v>
      </c>
      <c r="U16" s="26" t="s">
        <v>989</v>
      </c>
      <c r="V16" s="26" t="s">
        <v>1473</v>
      </c>
      <c r="W16" s="22">
        <v>2.0</v>
      </c>
      <c r="X16" s="22">
        <v>3.0</v>
      </c>
      <c r="Y16" s="22">
        <v>4.0</v>
      </c>
      <c r="Z16" s="22">
        <v>4.0</v>
      </c>
      <c r="AA16" s="22">
        <v>4.0</v>
      </c>
      <c r="AB16" s="22">
        <v>5.0</v>
      </c>
      <c r="AC16" s="22">
        <v>2.0</v>
      </c>
      <c r="AD16" s="22">
        <v>3.0</v>
      </c>
      <c r="AE16" s="28">
        <f t="shared" si="1"/>
        <v>27</v>
      </c>
      <c r="AF16" s="24" t="s">
        <v>195</v>
      </c>
      <c r="AG16" s="24" t="s">
        <v>1680</v>
      </c>
      <c r="AH16" s="29" t="str">
        <f t="shared" si="2"/>
        <v>Complete</v>
      </c>
    </row>
    <row r="17" ht="324.0" customHeight="1">
      <c r="A17" s="26">
        <v>400.0</v>
      </c>
      <c r="B17" s="27" t="str">
        <f>HYPERLINK("https://github.com/pytorch-fdn/ambassador-program/issues/400","https://github.com/pytorch-fdn/ambassador-program/issues/400")</f>
        <v>https://github.com/pytorch-fdn/ambassador-program/issues/400</v>
      </c>
      <c r="C17" s="26" t="s">
        <v>809</v>
      </c>
      <c r="D17" s="26" t="s">
        <v>810</v>
      </c>
      <c r="E17" s="26" t="s">
        <v>811</v>
      </c>
      <c r="F17" s="26" t="s">
        <v>261</v>
      </c>
      <c r="G17" s="26" t="s">
        <v>814</v>
      </c>
      <c r="H17" s="26" t="s">
        <v>103</v>
      </c>
      <c r="I17" s="26" t="s">
        <v>100</v>
      </c>
      <c r="J17" s="26" t="s">
        <v>815</v>
      </c>
      <c r="K17" s="26" t="s">
        <v>100</v>
      </c>
      <c r="L17" s="26" t="s">
        <v>100</v>
      </c>
      <c r="M17" s="26" t="s">
        <v>334</v>
      </c>
      <c r="N17" s="26" t="s">
        <v>818</v>
      </c>
      <c r="O17" s="26" t="s">
        <v>820</v>
      </c>
      <c r="P17" s="26" t="s">
        <v>821</v>
      </c>
      <c r="Q17" s="26" t="s">
        <v>823</v>
      </c>
      <c r="R17" s="26" t="s">
        <v>825</v>
      </c>
      <c r="S17" s="26" t="s">
        <v>827</v>
      </c>
      <c r="T17" s="26" t="s">
        <v>198</v>
      </c>
      <c r="U17" s="26" t="s">
        <v>828</v>
      </c>
      <c r="V17" s="26" t="s">
        <v>118</v>
      </c>
      <c r="W17" s="22">
        <v>3.0</v>
      </c>
      <c r="X17" s="22">
        <v>3.0</v>
      </c>
      <c r="Y17" s="22">
        <v>3.0</v>
      </c>
      <c r="Z17" s="22">
        <v>2.0</v>
      </c>
      <c r="AA17" s="22">
        <v>2.0</v>
      </c>
      <c r="AB17" s="22">
        <v>3.0</v>
      </c>
      <c r="AC17" s="22">
        <v>3.0</v>
      </c>
      <c r="AD17" s="22">
        <v>3.0</v>
      </c>
      <c r="AE17" s="28">
        <f t="shared" si="1"/>
        <v>22</v>
      </c>
      <c r="AF17" s="24" t="s">
        <v>303</v>
      </c>
      <c r="AG17" s="24" t="s">
        <v>1682</v>
      </c>
      <c r="AH17" s="29" t="str">
        <f t="shared" si="2"/>
        <v>Complete</v>
      </c>
    </row>
    <row r="18" ht="126.0" customHeight="1">
      <c r="A18" s="26">
        <v>399.0</v>
      </c>
      <c r="B18" s="27" t="str">
        <f>HYPERLINK("https://github.com/pytorch-fdn/ambassador-program/issues/399","https://github.com/pytorch-fdn/ambassador-program/issues/399")</f>
        <v>https://github.com/pytorch-fdn/ambassador-program/issues/399</v>
      </c>
      <c r="C18" s="26" t="s">
        <v>775</v>
      </c>
      <c r="D18" s="26" t="s">
        <v>780</v>
      </c>
      <c r="E18" s="26" t="s">
        <v>781</v>
      </c>
      <c r="F18" s="26" t="s">
        <v>95</v>
      </c>
      <c r="G18" s="26" t="s">
        <v>782</v>
      </c>
      <c r="H18" s="26" t="s">
        <v>103</v>
      </c>
      <c r="I18" s="26" t="s">
        <v>100</v>
      </c>
      <c r="J18" s="26" t="s">
        <v>784</v>
      </c>
      <c r="K18" s="26" t="s">
        <v>785</v>
      </c>
      <c r="L18" s="26" t="s">
        <v>100</v>
      </c>
      <c r="M18" s="26" t="s">
        <v>108</v>
      </c>
      <c r="N18" s="26" t="s">
        <v>100</v>
      </c>
      <c r="O18" s="26" t="s">
        <v>789</v>
      </c>
      <c r="P18" s="26" t="s">
        <v>790</v>
      </c>
      <c r="Q18" s="26" t="s">
        <v>792</v>
      </c>
      <c r="R18" s="26" t="s">
        <v>793</v>
      </c>
      <c r="S18" s="26" t="s">
        <v>169</v>
      </c>
      <c r="T18" s="26" t="s">
        <v>158</v>
      </c>
      <c r="U18" s="26" t="s">
        <v>794</v>
      </c>
      <c r="V18" s="26" t="s">
        <v>118</v>
      </c>
      <c r="W18" s="22">
        <v>2.0</v>
      </c>
      <c r="X18" s="22">
        <v>3.0</v>
      </c>
      <c r="Y18" s="22">
        <v>4.0</v>
      </c>
      <c r="Z18" s="22">
        <v>3.0</v>
      </c>
      <c r="AA18" s="22">
        <v>3.0</v>
      </c>
      <c r="AB18" s="22">
        <v>3.0</v>
      </c>
      <c r="AC18" s="22">
        <v>3.0</v>
      </c>
      <c r="AD18" s="22">
        <v>3.0</v>
      </c>
      <c r="AE18" s="28">
        <f t="shared" si="1"/>
        <v>24</v>
      </c>
      <c r="AF18" s="24" t="s">
        <v>195</v>
      </c>
      <c r="AG18" s="24" t="s">
        <v>1685</v>
      </c>
      <c r="AH18" s="29" t="str">
        <f t="shared" si="2"/>
        <v>Complete</v>
      </c>
    </row>
    <row r="19" ht="288.0" customHeight="1">
      <c r="A19" s="26">
        <v>394.0</v>
      </c>
      <c r="B19" s="27" t="str">
        <f>HYPERLINK("https://github.com/pytorch-fdn/ambassador-program/issues/394","https://github.com/pytorch-fdn/ambassador-program/issues/394")</f>
        <v>https://github.com/pytorch-fdn/ambassador-program/issues/394</v>
      </c>
      <c r="C19" s="26" t="s">
        <v>751</v>
      </c>
      <c r="D19" s="26" t="s">
        <v>752</v>
      </c>
      <c r="E19" s="26" t="s">
        <v>652</v>
      </c>
      <c r="F19" s="26" t="s">
        <v>175</v>
      </c>
      <c r="G19" s="26" t="s">
        <v>753</v>
      </c>
      <c r="H19" s="26" t="s">
        <v>103</v>
      </c>
      <c r="I19" s="26" t="s">
        <v>100</v>
      </c>
      <c r="J19" s="26" t="s">
        <v>756</v>
      </c>
      <c r="K19" s="26" t="s">
        <v>100</v>
      </c>
      <c r="L19" s="26" t="s">
        <v>758</v>
      </c>
      <c r="M19" s="26" t="s">
        <v>108</v>
      </c>
      <c r="N19" s="26" t="s">
        <v>100</v>
      </c>
      <c r="O19" s="26" t="s">
        <v>760</v>
      </c>
      <c r="P19" s="26" t="s">
        <v>763</v>
      </c>
      <c r="Q19" s="26" t="s">
        <v>766</v>
      </c>
      <c r="R19" s="26" t="s">
        <v>768</v>
      </c>
      <c r="S19" s="26" t="s">
        <v>144</v>
      </c>
      <c r="T19" s="26" t="s">
        <v>115</v>
      </c>
      <c r="U19" s="26" t="s">
        <v>420</v>
      </c>
      <c r="V19" s="26" t="s">
        <v>772</v>
      </c>
      <c r="W19" s="22">
        <v>1.0</v>
      </c>
      <c r="X19" s="22">
        <v>2.0</v>
      </c>
      <c r="Y19" s="22">
        <v>2.0</v>
      </c>
      <c r="Z19" s="22">
        <v>2.0</v>
      </c>
      <c r="AA19" s="22">
        <v>3.0</v>
      </c>
      <c r="AB19" s="22">
        <v>3.0</v>
      </c>
      <c r="AC19" s="22">
        <v>2.0</v>
      </c>
      <c r="AD19" s="22">
        <v>2.0</v>
      </c>
      <c r="AE19" s="28">
        <f t="shared" si="1"/>
        <v>17</v>
      </c>
      <c r="AF19" s="24" t="s">
        <v>124</v>
      </c>
      <c r="AG19" s="24" t="s">
        <v>1687</v>
      </c>
      <c r="AH19" s="29" t="str">
        <f t="shared" si="2"/>
        <v>Complete</v>
      </c>
    </row>
    <row r="20" ht="168.0" customHeight="1">
      <c r="A20" s="26">
        <v>386.0</v>
      </c>
      <c r="B20" s="27" t="str">
        <f>HYPERLINK("https://github.com/pytorch-fdn/ambassador-program/issues/386","https://github.com/pytorch-fdn/ambassador-program/issues/386")</f>
        <v>https://github.com/pytorch-fdn/ambassador-program/issues/386</v>
      </c>
      <c r="C20" s="26" t="s">
        <v>913</v>
      </c>
      <c r="D20" s="26" t="s">
        <v>914</v>
      </c>
      <c r="E20" s="26" t="s">
        <v>915</v>
      </c>
      <c r="F20" s="26" t="s">
        <v>175</v>
      </c>
      <c r="G20" s="26" t="s">
        <v>916</v>
      </c>
      <c r="H20" s="26" t="s">
        <v>103</v>
      </c>
      <c r="I20" s="26" t="s">
        <v>100</v>
      </c>
      <c r="J20" s="26" t="s">
        <v>917</v>
      </c>
      <c r="K20" s="26" t="s">
        <v>100</v>
      </c>
      <c r="L20" s="26" t="s">
        <v>100</v>
      </c>
      <c r="M20" s="26" t="s">
        <v>824</v>
      </c>
      <c r="N20" s="26" t="s">
        <v>919</v>
      </c>
      <c r="O20" s="26" t="s">
        <v>921</v>
      </c>
      <c r="P20" s="26" t="s">
        <v>923</v>
      </c>
      <c r="Q20" s="26" t="s">
        <v>925</v>
      </c>
      <c r="R20" s="26" t="s">
        <v>926</v>
      </c>
      <c r="S20" s="26" t="s">
        <v>927</v>
      </c>
      <c r="T20" s="26" t="s">
        <v>115</v>
      </c>
      <c r="U20" s="26" t="s">
        <v>145</v>
      </c>
      <c r="V20" s="26" t="s">
        <v>933</v>
      </c>
      <c r="W20" s="30"/>
      <c r="X20" s="30"/>
      <c r="Y20" s="30"/>
      <c r="Z20" s="30"/>
      <c r="AA20" s="30"/>
      <c r="AB20" s="30"/>
      <c r="AC20" s="30"/>
      <c r="AD20" s="30"/>
      <c r="AE20" s="28" t="str">
        <f t="shared" si="1"/>
        <v/>
      </c>
      <c r="AF20" s="31"/>
      <c r="AG20" s="31"/>
      <c r="AH20" s="29" t="str">
        <f t="shared" si="2"/>
        <v>Not Started</v>
      </c>
    </row>
    <row r="21" ht="228.0" customHeight="1">
      <c r="A21" s="26">
        <v>378.0</v>
      </c>
      <c r="B21" s="27" t="str">
        <f>HYPERLINK("https://github.com/pytorch-fdn/ambassador-program/issues/378","https://github.com/pytorch-fdn/ambassador-program/issues/378")</f>
        <v>https://github.com/pytorch-fdn/ambassador-program/issues/378</v>
      </c>
      <c r="C21" s="26">
        <v>983111.0</v>
      </c>
      <c r="D21" s="26" t="s">
        <v>1352</v>
      </c>
      <c r="E21" s="26" t="s">
        <v>145</v>
      </c>
      <c r="F21" s="26" t="s">
        <v>175</v>
      </c>
      <c r="G21" s="26" t="s">
        <v>1355</v>
      </c>
      <c r="H21" s="26" t="s">
        <v>103</v>
      </c>
      <c r="I21" s="26" t="s">
        <v>100</v>
      </c>
      <c r="J21" s="26" t="s">
        <v>1356</v>
      </c>
      <c r="K21" s="26" t="s">
        <v>100</v>
      </c>
      <c r="L21" s="26" t="s">
        <v>100</v>
      </c>
      <c r="M21" s="26" t="s">
        <v>779</v>
      </c>
      <c r="N21" s="26" t="s">
        <v>100</v>
      </c>
      <c r="O21" s="26" t="s">
        <v>1359</v>
      </c>
      <c r="P21" s="26" t="s">
        <v>1362</v>
      </c>
      <c r="Q21" s="26" t="s">
        <v>1364</v>
      </c>
      <c r="R21" s="26" t="s">
        <v>1365</v>
      </c>
      <c r="S21" s="26" t="s">
        <v>1366</v>
      </c>
      <c r="T21" s="26" t="s">
        <v>115</v>
      </c>
      <c r="U21" s="26" t="s">
        <v>145</v>
      </c>
      <c r="V21" s="26" t="s">
        <v>118</v>
      </c>
      <c r="W21" s="30"/>
      <c r="X21" s="30"/>
      <c r="Y21" s="30"/>
      <c r="Z21" s="30"/>
      <c r="AA21" s="30"/>
      <c r="AB21" s="30"/>
      <c r="AC21" s="30"/>
      <c r="AD21" s="30"/>
      <c r="AE21" s="28" t="str">
        <f t="shared" si="1"/>
        <v/>
      </c>
      <c r="AF21" s="31"/>
      <c r="AG21" s="31"/>
      <c r="AH21" s="29" t="str">
        <f t="shared" si="2"/>
        <v>Not Started</v>
      </c>
    </row>
    <row r="22" ht="408.0" customHeight="1">
      <c r="A22" s="26">
        <v>376.0</v>
      </c>
      <c r="B22" s="27" t="str">
        <f>HYPERLINK("https://github.com/pytorch-fdn/ambassador-program/issues/376","https://github.com/pytorch-fdn/ambassador-program/issues/376")</f>
        <v>https://github.com/pytorch-fdn/ambassador-program/issues/376</v>
      </c>
      <c r="C22" s="26" t="s">
        <v>1497</v>
      </c>
      <c r="D22" s="26" t="s">
        <v>1498</v>
      </c>
      <c r="E22" s="26" t="s">
        <v>1499</v>
      </c>
      <c r="F22" s="26" t="s">
        <v>99</v>
      </c>
      <c r="G22" s="26" t="s">
        <v>1500</v>
      </c>
      <c r="H22" s="26" t="s">
        <v>103</v>
      </c>
      <c r="I22" s="26" t="s">
        <v>100</v>
      </c>
      <c r="J22" s="26" t="s">
        <v>1501</v>
      </c>
      <c r="K22" s="26" t="s">
        <v>100</v>
      </c>
      <c r="L22" s="26" t="s">
        <v>100</v>
      </c>
      <c r="M22" s="26" t="s">
        <v>108</v>
      </c>
      <c r="N22" s="26" t="s">
        <v>100</v>
      </c>
      <c r="O22" s="26" t="s">
        <v>134</v>
      </c>
      <c r="P22" s="26" t="s">
        <v>1507</v>
      </c>
      <c r="Q22" s="26" t="s">
        <v>1512</v>
      </c>
      <c r="R22" s="26" t="s">
        <v>1514</v>
      </c>
      <c r="S22" s="26" t="s">
        <v>1515</v>
      </c>
      <c r="T22" s="26" t="s">
        <v>115</v>
      </c>
      <c r="U22" s="26" t="s">
        <v>145</v>
      </c>
      <c r="V22" s="26" t="s">
        <v>118</v>
      </c>
      <c r="W22" s="30"/>
      <c r="X22" s="30"/>
      <c r="Y22" s="30"/>
      <c r="Z22" s="30"/>
      <c r="AA22" s="30"/>
      <c r="AB22" s="30"/>
      <c r="AC22" s="30"/>
      <c r="AD22" s="30"/>
      <c r="AE22" s="28" t="str">
        <f t="shared" si="1"/>
        <v/>
      </c>
      <c r="AF22" s="31"/>
      <c r="AG22" s="31"/>
      <c r="AH22" s="29" t="str">
        <f t="shared" si="2"/>
        <v>Not Started</v>
      </c>
    </row>
    <row r="23" ht="204.0" customHeight="1">
      <c r="A23" s="26">
        <v>375.0</v>
      </c>
      <c r="B23" s="27" t="str">
        <f>HYPERLINK("https://github.com/pytorch-fdn/ambassador-program/issues/375","https://github.com/pytorch-fdn/ambassador-program/issues/375")</f>
        <v>https://github.com/pytorch-fdn/ambassador-program/issues/375</v>
      </c>
      <c r="C23" s="26" t="s">
        <v>889</v>
      </c>
      <c r="D23" s="26" t="s">
        <v>890</v>
      </c>
      <c r="E23" s="26" t="s">
        <v>891</v>
      </c>
      <c r="F23" s="26" t="s">
        <v>99</v>
      </c>
      <c r="G23" s="26" t="s">
        <v>893</v>
      </c>
      <c r="H23" s="26" t="s">
        <v>103</v>
      </c>
      <c r="I23" s="26" t="s">
        <v>100</v>
      </c>
      <c r="J23" s="26" t="s">
        <v>895</v>
      </c>
      <c r="K23" s="26" t="s">
        <v>100</v>
      </c>
      <c r="L23" s="26" t="s">
        <v>100</v>
      </c>
      <c r="M23" s="26" t="s">
        <v>896</v>
      </c>
      <c r="N23" s="26" t="s">
        <v>100</v>
      </c>
      <c r="O23" s="26" t="s">
        <v>897</v>
      </c>
      <c r="P23" s="26" t="s">
        <v>899</v>
      </c>
      <c r="Q23" s="26" t="s">
        <v>900</v>
      </c>
      <c r="R23" s="26" t="s">
        <v>901</v>
      </c>
      <c r="S23" s="26" t="s">
        <v>902</v>
      </c>
      <c r="T23" s="26" t="s">
        <v>115</v>
      </c>
      <c r="U23" s="26" t="s">
        <v>117</v>
      </c>
      <c r="V23" s="26" t="s">
        <v>903</v>
      </c>
      <c r="W23" s="30"/>
      <c r="X23" s="30"/>
      <c r="Y23" s="30"/>
      <c r="Z23" s="30"/>
      <c r="AA23" s="30"/>
      <c r="AB23" s="30"/>
      <c r="AC23" s="30"/>
      <c r="AD23" s="30"/>
      <c r="AE23" s="28" t="str">
        <f t="shared" si="1"/>
        <v/>
      </c>
      <c r="AF23" s="31"/>
      <c r="AG23" s="31"/>
      <c r="AH23" s="29" t="str">
        <f t="shared" si="2"/>
        <v>Not Started</v>
      </c>
    </row>
    <row r="24" ht="204.0" customHeight="1">
      <c r="A24" s="26">
        <v>372.0</v>
      </c>
      <c r="B24" s="27" t="str">
        <f>HYPERLINK("https://github.com/pytorch-fdn/ambassador-program/issues/372","https://github.com/pytorch-fdn/ambassador-program/issues/372")</f>
        <v>https://github.com/pytorch-fdn/ambassador-program/issues/372</v>
      </c>
      <c r="C24" s="26" t="s">
        <v>1699</v>
      </c>
      <c r="D24" s="26" t="s">
        <v>1700</v>
      </c>
      <c r="E24" s="26" t="s">
        <v>1701</v>
      </c>
      <c r="F24" s="26" t="s">
        <v>261</v>
      </c>
      <c r="G24" s="26" t="s">
        <v>1702</v>
      </c>
      <c r="H24" s="26" t="s">
        <v>103</v>
      </c>
      <c r="I24" s="26" t="s">
        <v>100</v>
      </c>
      <c r="J24" s="26" t="s">
        <v>1703</v>
      </c>
      <c r="K24" s="26" t="s">
        <v>100</v>
      </c>
      <c r="L24" s="26" t="s">
        <v>100</v>
      </c>
      <c r="M24" s="26" t="s">
        <v>500</v>
      </c>
      <c r="N24" s="26" t="s">
        <v>100</v>
      </c>
      <c r="O24" s="26" t="s">
        <v>1704</v>
      </c>
      <c r="P24" s="26" t="s">
        <v>1705</v>
      </c>
      <c r="Q24" s="26" t="s">
        <v>1706</v>
      </c>
      <c r="R24" s="26" t="s">
        <v>1707</v>
      </c>
      <c r="S24" s="26" t="s">
        <v>1708</v>
      </c>
      <c r="T24" s="26" t="s">
        <v>551</v>
      </c>
      <c r="U24" s="26" t="s">
        <v>1709</v>
      </c>
      <c r="V24" s="26" t="s">
        <v>118</v>
      </c>
      <c r="W24" s="30"/>
      <c r="X24" s="30"/>
      <c r="Y24" s="30"/>
      <c r="Z24" s="30"/>
      <c r="AA24" s="30"/>
      <c r="AB24" s="30"/>
      <c r="AC24" s="30"/>
      <c r="AD24" s="30"/>
      <c r="AE24" s="28" t="str">
        <f t="shared" si="1"/>
        <v/>
      </c>
      <c r="AF24" s="31"/>
      <c r="AG24" s="31"/>
      <c r="AH24" s="29" t="str">
        <f t="shared" si="2"/>
        <v>Not Started</v>
      </c>
    </row>
    <row r="25" ht="126.0" customHeight="1">
      <c r="A25" s="26">
        <v>339.0</v>
      </c>
      <c r="B25" s="27" t="str">
        <f>HYPERLINK("https://github.com/pytorch-fdn/ambassador-program/issues/339","https://github.com/pytorch-fdn/ambassador-program/issues/339")</f>
        <v>https://github.com/pytorch-fdn/ambassador-program/issues/339</v>
      </c>
      <c r="C25" s="26" t="s">
        <v>1416</v>
      </c>
      <c r="D25" s="26" t="s">
        <v>1417</v>
      </c>
      <c r="E25" s="26" t="s">
        <v>1419</v>
      </c>
      <c r="F25" s="26" t="s">
        <v>99</v>
      </c>
      <c r="G25" s="26" t="s">
        <v>100</v>
      </c>
      <c r="H25" s="26" t="s">
        <v>98</v>
      </c>
      <c r="I25" s="26" t="s">
        <v>100</v>
      </c>
      <c r="J25" s="26" t="s">
        <v>100</v>
      </c>
      <c r="K25" s="26" t="s">
        <v>100</v>
      </c>
      <c r="L25" s="26" t="s">
        <v>100</v>
      </c>
      <c r="M25" s="26" t="s">
        <v>162</v>
      </c>
      <c r="N25" s="26" t="s">
        <v>100</v>
      </c>
      <c r="O25" s="26" t="s">
        <v>643</v>
      </c>
      <c r="P25" s="26" t="s">
        <v>1110</v>
      </c>
      <c r="Q25" s="26" t="s">
        <v>1425</v>
      </c>
      <c r="R25" s="26" t="s">
        <v>1110</v>
      </c>
      <c r="S25" s="26" t="s">
        <v>1426</v>
      </c>
      <c r="T25" s="26" t="s">
        <v>115</v>
      </c>
      <c r="U25" s="26" t="s">
        <v>434</v>
      </c>
      <c r="V25" s="26" t="s">
        <v>118</v>
      </c>
      <c r="W25" s="30"/>
      <c r="X25" s="30"/>
      <c r="Y25" s="30"/>
      <c r="Z25" s="30"/>
      <c r="AA25" s="30"/>
      <c r="AB25" s="30"/>
      <c r="AC25" s="30"/>
      <c r="AD25" s="30"/>
      <c r="AE25" s="28" t="str">
        <f t="shared" si="1"/>
        <v/>
      </c>
      <c r="AF25" s="31"/>
      <c r="AG25" s="31"/>
      <c r="AH25" s="29" t="str">
        <f t="shared" si="2"/>
        <v>Not Started</v>
      </c>
    </row>
    <row r="26" ht="408.75" customHeight="1">
      <c r="A26" s="26">
        <v>338.0</v>
      </c>
      <c r="B26" s="27" t="str">
        <f>HYPERLINK("https://github.com/pytorch-fdn/ambassador-program/issues/338","https://github.com/pytorch-fdn/ambassador-program/issues/338")</f>
        <v>https://github.com/pytorch-fdn/ambassador-program/issues/338</v>
      </c>
      <c r="C26" s="26" t="s">
        <v>1711</v>
      </c>
      <c r="D26" s="26" t="s">
        <v>1712</v>
      </c>
      <c r="E26" s="26" t="s">
        <v>1713</v>
      </c>
      <c r="F26" s="26" t="s">
        <v>95</v>
      </c>
      <c r="G26" s="26" t="s">
        <v>100</v>
      </c>
      <c r="H26" s="26" t="s">
        <v>103</v>
      </c>
      <c r="I26" s="26" t="s">
        <v>100</v>
      </c>
      <c r="J26" s="26" t="s">
        <v>1714</v>
      </c>
      <c r="K26" s="26" t="s">
        <v>100</v>
      </c>
      <c r="L26" s="26" t="s">
        <v>100</v>
      </c>
      <c r="M26" s="26" t="s">
        <v>1715</v>
      </c>
      <c r="N26" s="26" t="s">
        <v>335</v>
      </c>
      <c r="O26" s="26" t="s">
        <v>1716</v>
      </c>
      <c r="P26" s="26" t="s">
        <v>1717</v>
      </c>
      <c r="Q26" s="26" t="s">
        <v>1718</v>
      </c>
      <c r="R26" s="26" t="s">
        <v>1719</v>
      </c>
      <c r="S26" s="26" t="s">
        <v>144</v>
      </c>
      <c r="T26" s="26" t="s">
        <v>115</v>
      </c>
      <c r="U26" s="26" t="s">
        <v>145</v>
      </c>
      <c r="V26" s="26" t="s">
        <v>1720</v>
      </c>
      <c r="W26" s="30"/>
      <c r="X26" s="30"/>
      <c r="Y26" s="30"/>
      <c r="Z26" s="30"/>
      <c r="AA26" s="30"/>
      <c r="AB26" s="30"/>
      <c r="AC26" s="30"/>
      <c r="AD26" s="30"/>
      <c r="AE26" s="28" t="str">
        <f t="shared" si="1"/>
        <v/>
      </c>
      <c r="AF26" s="31"/>
      <c r="AG26" s="31"/>
      <c r="AH26" s="29" t="str">
        <f t="shared" si="2"/>
        <v>Not Started</v>
      </c>
    </row>
    <row r="27" ht="204.0" customHeight="1">
      <c r="A27" s="26">
        <v>336.0</v>
      </c>
      <c r="B27" s="27" t="str">
        <f>HYPERLINK("https://github.com/pytorch-fdn/ambassador-program/issues/336","https://github.com/pytorch-fdn/ambassador-program/issues/336")</f>
        <v>https://github.com/pytorch-fdn/ambassador-program/issues/336</v>
      </c>
      <c r="C27" s="26" t="s">
        <v>1560</v>
      </c>
      <c r="D27" s="26" t="s">
        <v>1561</v>
      </c>
      <c r="E27" s="26" t="s">
        <v>1562</v>
      </c>
      <c r="F27" s="26" t="s">
        <v>95</v>
      </c>
      <c r="G27" s="26" t="s">
        <v>1563</v>
      </c>
      <c r="H27" s="26" t="s">
        <v>103</v>
      </c>
      <c r="I27" s="26" t="s">
        <v>1564</v>
      </c>
      <c r="J27" s="26" t="s">
        <v>1565</v>
      </c>
      <c r="K27" s="26" t="s">
        <v>100</v>
      </c>
      <c r="L27" s="26" t="s">
        <v>100</v>
      </c>
      <c r="M27" s="26" t="s">
        <v>108</v>
      </c>
      <c r="N27" s="26" t="s">
        <v>100</v>
      </c>
      <c r="O27" s="26" t="s">
        <v>178</v>
      </c>
      <c r="P27" s="26" t="s">
        <v>1566</v>
      </c>
      <c r="Q27" s="26" t="s">
        <v>1567</v>
      </c>
      <c r="R27" s="26" t="s">
        <v>1568</v>
      </c>
      <c r="S27" s="26" t="s">
        <v>592</v>
      </c>
      <c r="T27" s="26" t="s">
        <v>158</v>
      </c>
      <c r="U27" s="26" t="s">
        <v>160</v>
      </c>
      <c r="V27" s="26" t="s">
        <v>118</v>
      </c>
      <c r="W27" s="30"/>
      <c r="X27" s="30"/>
      <c r="Y27" s="30"/>
      <c r="Z27" s="30"/>
      <c r="AA27" s="30"/>
      <c r="AB27" s="30"/>
      <c r="AC27" s="30"/>
      <c r="AD27" s="30"/>
      <c r="AE27" s="28" t="str">
        <f t="shared" si="1"/>
        <v/>
      </c>
      <c r="AF27" s="31"/>
      <c r="AG27" s="31"/>
      <c r="AH27" s="29" t="str">
        <f t="shared" si="2"/>
        <v>Not Started</v>
      </c>
    </row>
    <row r="28" ht="126.0" customHeight="1">
      <c r="A28" s="26">
        <v>333.0</v>
      </c>
      <c r="B28" s="27" t="str">
        <f>HYPERLINK("https://github.com/pytorch-fdn/ambassador-program/issues/333","https://github.com/pytorch-fdn/ambassador-program/issues/333")</f>
        <v>https://github.com/pytorch-fdn/ambassador-program/issues/333</v>
      </c>
      <c r="C28" s="26" t="s">
        <v>1612</v>
      </c>
      <c r="D28" s="26" t="s">
        <v>1613</v>
      </c>
      <c r="E28" s="26" t="s">
        <v>1614</v>
      </c>
      <c r="F28" s="26" t="s">
        <v>95</v>
      </c>
      <c r="G28" s="26" t="s">
        <v>1615</v>
      </c>
      <c r="H28" s="26" t="s">
        <v>103</v>
      </c>
      <c r="I28" s="26" t="s">
        <v>100</v>
      </c>
      <c r="J28" s="26" t="s">
        <v>1616</v>
      </c>
      <c r="K28" s="26" t="s">
        <v>100</v>
      </c>
      <c r="L28" s="26" t="s">
        <v>100</v>
      </c>
      <c r="M28" s="26" t="s">
        <v>896</v>
      </c>
      <c r="N28" s="26" t="s">
        <v>100</v>
      </c>
      <c r="O28" s="26" t="s">
        <v>1617</v>
      </c>
      <c r="P28" s="26" t="s">
        <v>1618</v>
      </c>
      <c r="Q28" s="26" t="s">
        <v>1619</v>
      </c>
      <c r="R28" s="26" t="s">
        <v>1620</v>
      </c>
      <c r="S28" s="26" t="s">
        <v>1621</v>
      </c>
      <c r="T28" s="26" t="s">
        <v>115</v>
      </c>
      <c r="U28" s="26" t="s">
        <v>1614</v>
      </c>
      <c r="V28" s="26" t="s">
        <v>118</v>
      </c>
      <c r="W28" s="30"/>
      <c r="X28" s="30"/>
      <c r="Y28" s="30"/>
      <c r="Z28" s="30"/>
      <c r="AA28" s="30"/>
      <c r="AB28" s="30"/>
      <c r="AC28" s="30"/>
      <c r="AD28" s="30"/>
      <c r="AE28" s="28" t="str">
        <f t="shared" si="1"/>
        <v/>
      </c>
      <c r="AF28" s="31"/>
      <c r="AG28" s="31"/>
      <c r="AH28" s="29" t="str">
        <f t="shared" si="2"/>
        <v>Not Started</v>
      </c>
    </row>
    <row r="29" ht="408.75" customHeight="1">
      <c r="A29" s="32">
        <v>326.0</v>
      </c>
      <c r="B29" s="33" t="str">
        <f>HYPERLINK("https://github.com/pytorch-fdn/ambassador-program/issues/326","https://github.com/pytorch-fdn/ambassador-program/issues/326")</f>
        <v>https://github.com/pytorch-fdn/ambassador-program/issues/326</v>
      </c>
      <c r="C29" s="32" t="s">
        <v>1623</v>
      </c>
      <c r="D29" s="32" t="s">
        <v>1624</v>
      </c>
      <c r="E29" s="32" t="s">
        <v>475</v>
      </c>
      <c r="F29" s="32" t="s">
        <v>95</v>
      </c>
      <c r="G29" s="32" t="s">
        <v>1625</v>
      </c>
      <c r="H29" s="32" t="s">
        <v>98</v>
      </c>
      <c r="I29" s="32" t="s">
        <v>100</v>
      </c>
      <c r="J29" s="32" t="s">
        <v>1626</v>
      </c>
      <c r="K29" s="32" t="s">
        <v>100</v>
      </c>
      <c r="L29" s="32" t="s">
        <v>1627</v>
      </c>
      <c r="M29" s="32" t="s">
        <v>835</v>
      </c>
      <c r="N29" s="32" t="s">
        <v>100</v>
      </c>
      <c r="O29" s="32" t="s">
        <v>1628</v>
      </c>
      <c r="P29" s="32" t="s">
        <v>1629</v>
      </c>
      <c r="Q29" s="32" t="s">
        <v>1630</v>
      </c>
      <c r="R29" s="32" t="s">
        <v>1631</v>
      </c>
      <c r="S29" s="32" t="s">
        <v>144</v>
      </c>
      <c r="T29" s="32" t="s">
        <v>115</v>
      </c>
      <c r="U29" s="32" t="s">
        <v>145</v>
      </c>
      <c r="V29" s="32" t="s">
        <v>1632</v>
      </c>
      <c r="W29" s="30"/>
      <c r="X29" s="30"/>
      <c r="Y29" s="30"/>
      <c r="Z29" s="30"/>
      <c r="AA29" s="30"/>
      <c r="AB29" s="30"/>
      <c r="AC29" s="30"/>
      <c r="AD29" s="30"/>
      <c r="AE29" s="34" t="str">
        <f t="shared" si="1"/>
        <v/>
      </c>
      <c r="AF29" s="31"/>
      <c r="AG29" s="31"/>
      <c r="AH29" s="35" t="str">
        <f t="shared" si="2"/>
        <v>Not Started</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4" width="22.0"/>
  </cols>
  <sheetData>
    <row r="1" ht="33.75" customHeight="1">
      <c r="A1" s="1" t="s">
        <v>1642</v>
      </c>
    </row>
    <row r="2" ht="27.75" customHeight="1">
      <c r="A2" s="2" t="s">
        <v>51</v>
      </c>
    </row>
    <row r="3">
      <c r="A3" s="14" t="s">
        <v>53</v>
      </c>
      <c r="W3" s="15" t="s">
        <v>54</v>
      </c>
    </row>
    <row r="4" ht="90.0"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6" t="s">
        <v>85</v>
      </c>
      <c r="AE4" s="19" t="s">
        <v>86</v>
      </c>
      <c r="AF4" s="16" t="s">
        <v>87</v>
      </c>
      <c r="AG4" s="16" t="s">
        <v>88</v>
      </c>
      <c r="AH4" s="19" t="s">
        <v>89</v>
      </c>
    </row>
    <row r="5" ht="408.75" customHeight="1">
      <c r="A5" s="20">
        <v>477.0</v>
      </c>
      <c r="B5" s="21" t="str">
        <f>HYPERLINK("https://github.com/pytorch-fdn/ambassador-program/issues/477","https://github.com/pytorch-fdn/ambassador-program/issues/477")</f>
        <v>https://github.com/pytorch-fdn/ambassador-program/issues/477</v>
      </c>
      <c r="C5" s="20" t="s">
        <v>90</v>
      </c>
      <c r="D5" s="20" t="s">
        <v>92</v>
      </c>
      <c r="E5" s="20" t="s">
        <v>93</v>
      </c>
      <c r="F5" s="20" t="s">
        <v>95</v>
      </c>
      <c r="G5" s="20" t="s">
        <v>97</v>
      </c>
      <c r="H5" s="20" t="s">
        <v>98</v>
      </c>
      <c r="I5" s="20" t="s">
        <v>100</v>
      </c>
      <c r="J5" s="20" t="s">
        <v>101</v>
      </c>
      <c r="K5" s="20" t="s">
        <v>100</v>
      </c>
      <c r="L5" s="20" t="s">
        <v>104</v>
      </c>
      <c r="M5" s="20" t="s">
        <v>106</v>
      </c>
      <c r="N5" s="20" t="s">
        <v>100</v>
      </c>
      <c r="O5" s="20" t="s">
        <v>107</v>
      </c>
      <c r="P5" s="20" t="s">
        <v>112</v>
      </c>
      <c r="Q5" s="20" t="s">
        <v>116</v>
      </c>
      <c r="R5" s="20" t="s">
        <v>119</v>
      </c>
      <c r="S5" s="20" t="s">
        <v>120</v>
      </c>
      <c r="T5" s="20" t="s">
        <v>121</v>
      </c>
      <c r="U5" s="20" t="s">
        <v>122</v>
      </c>
      <c r="V5" s="20" t="s">
        <v>123</v>
      </c>
      <c r="W5" s="22"/>
      <c r="X5" s="22"/>
      <c r="Y5" s="22"/>
      <c r="Z5" s="22"/>
      <c r="AA5" s="22"/>
      <c r="AB5" s="22"/>
      <c r="AC5" s="22"/>
      <c r="AD5" s="22"/>
      <c r="AE5" s="23" t="str">
        <f t="shared" ref="AE5:AE29" si="1">IF(COUNT(W5:AD5)=8,SUM(W5:AD5),"")</f>
        <v/>
      </c>
      <c r="AF5" s="24"/>
      <c r="AG5" s="24"/>
      <c r="AH5" s="25" t="str">
        <f t="shared" ref="AH5:AH29" si="2">IF(AND(COUNT(W5:AD5)=0,AF5="",AG5=""),"Not Started",IF(AF5="Abstain (Conflict of Interest)",IF(AG5&lt;&gt;"","Reassignment Required","Add Conflict Note"),IF(AND(COUNT(W5:AD5)=8,AF5&lt;&gt;"",AG5&lt;&gt;""),"Complete","In Progress")))</f>
        <v>Not Started</v>
      </c>
    </row>
    <row r="6" ht="360.0" customHeight="1">
      <c r="A6" s="26">
        <v>464.0</v>
      </c>
      <c r="B6" s="27" t="str">
        <f>HYPERLINK("https://github.com/pytorch-fdn/ambassador-program/issues/464","https://github.com/pytorch-fdn/ambassador-program/issues/464")</f>
        <v>https://github.com/pytorch-fdn/ambassador-program/issues/464</v>
      </c>
      <c r="C6" s="26" t="s">
        <v>1658</v>
      </c>
      <c r="D6" s="26" t="s">
        <v>1659</v>
      </c>
      <c r="E6" s="26" t="s">
        <v>1660</v>
      </c>
      <c r="F6" s="26" t="s">
        <v>261</v>
      </c>
      <c r="G6" s="26" t="s">
        <v>1661</v>
      </c>
      <c r="H6" s="26" t="s">
        <v>103</v>
      </c>
      <c r="I6" s="26" t="s">
        <v>100</v>
      </c>
      <c r="J6" s="26" t="s">
        <v>1662</v>
      </c>
      <c r="K6" s="26" t="s">
        <v>1663</v>
      </c>
      <c r="L6" s="26" t="s">
        <v>100</v>
      </c>
      <c r="M6" s="26" t="s">
        <v>1664</v>
      </c>
      <c r="N6" s="26" t="s">
        <v>100</v>
      </c>
      <c r="O6" s="26" t="s">
        <v>1264</v>
      </c>
      <c r="P6" s="26" t="s">
        <v>1666</v>
      </c>
      <c r="Q6" s="26" t="s">
        <v>1667</v>
      </c>
      <c r="R6" s="26" t="s">
        <v>1668</v>
      </c>
      <c r="S6" s="26" t="s">
        <v>1669</v>
      </c>
      <c r="T6" s="26" t="s">
        <v>158</v>
      </c>
      <c r="U6" s="26" t="s">
        <v>160</v>
      </c>
      <c r="V6" s="26" t="s">
        <v>1674</v>
      </c>
      <c r="W6" s="30"/>
      <c r="X6" s="30"/>
      <c r="Y6" s="30"/>
      <c r="Z6" s="30"/>
      <c r="AA6" s="30"/>
      <c r="AB6" s="30"/>
      <c r="AC6" s="30"/>
      <c r="AD6" s="30"/>
      <c r="AE6" s="28" t="str">
        <f t="shared" si="1"/>
        <v/>
      </c>
      <c r="AF6" s="31"/>
      <c r="AG6" s="31"/>
      <c r="AH6" s="29" t="str">
        <f t="shared" si="2"/>
        <v>Not Started</v>
      </c>
    </row>
    <row r="7" ht="408.75" customHeight="1">
      <c r="A7" s="26">
        <v>453.0</v>
      </c>
      <c r="B7" s="27" t="str">
        <f>HYPERLINK("https://github.com/pytorch-fdn/ambassador-program/issues/453","https://github.com/pytorch-fdn/ambassador-program/issues/453")</f>
        <v>https://github.com/pytorch-fdn/ambassador-program/issues/453</v>
      </c>
      <c r="C7" s="26" t="s">
        <v>1159</v>
      </c>
      <c r="D7" s="26" t="s">
        <v>1160</v>
      </c>
      <c r="E7" s="26" t="s">
        <v>1161</v>
      </c>
      <c r="F7" s="26" t="s">
        <v>175</v>
      </c>
      <c r="G7" s="26" t="s">
        <v>1162</v>
      </c>
      <c r="H7" s="26" t="s">
        <v>103</v>
      </c>
      <c r="I7" s="26" t="s">
        <v>100</v>
      </c>
      <c r="J7" s="26" t="s">
        <v>1164</v>
      </c>
      <c r="K7" s="26" t="s">
        <v>100</v>
      </c>
      <c r="L7" s="26" t="s">
        <v>100</v>
      </c>
      <c r="M7" s="26" t="s">
        <v>108</v>
      </c>
      <c r="N7" s="26" t="s">
        <v>100</v>
      </c>
      <c r="O7" s="26" t="s">
        <v>1165</v>
      </c>
      <c r="P7" s="26" t="s">
        <v>1166</v>
      </c>
      <c r="Q7" s="26" t="s">
        <v>1167</v>
      </c>
      <c r="R7" s="26" t="s">
        <v>1168</v>
      </c>
      <c r="S7" s="26" t="s">
        <v>144</v>
      </c>
      <c r="T7" s="26" t="s">
        <v>158</v>
      </c>
      <c r="U7" s="26" t="s">
        <v>1169</v>
      </c>
      <c r="V7" s="26" t="s">
        <v>118</v>
      </c>
      <c r="W7" s="30"/>
      <c r="X7" s="30"/>
      <c r="Y7" s="30"/>
      <c r="Z7" s="30"/>
      <c r="AA7" s="30"/>
      <c r="AB7" s="30"/>
      <c r="AC7" s="30"/>
      <c r="AD7" s="30"/>
      <c r="AE7" s="28" t="str">
        <f t="shared" si="1"/>
        <v/>
      </c>
      <c r="AF7" s="31"/>
      <c r="AG7" s="31"/>
      <c r="AH7" s="29" t="str">
        <f t="shared" si="2"/>
        <v>Not Started</v>
      </c>
    </row>
    <row r="8" ht="408.75" customHeight="1">
      <c r="A8" s="26">
        <v>451.0</v>
      </c>
      <c r="B8" s="27" t="str">
        <f>HYPERLINK("https://github.com/pytorch-fdn/ambassador-program/issues/451","https://github.com/pytorch-fdn/ambassador-program/issues/451")</f>
        <v>https://github.com/pytorch-fdn/ambassador-program/issues/451</v>
      </c>
      <c r="C8" s="26" t="s">
        <v>356</v>
      </c>
      <c r="D8" s="26" t="s">
        <v>357</v>
      </c>
      <c r="E8" s="26" t="s">
        <v>359</v>
      </c>
      <c r="F8" s="26" t="s">
        <v>261</v>
      </c>
      <c r="G8" s="26" t="s">
        <v>362</v>
      </c>
      <c r="H8" s="26" t="s">
        <v>98</v>
      </c>
      <c r="I8" s="26" t="s">
        <v>100</v>
      </c>
      <c r="J8" s="26" t="s">
        <v>364</v>
      </c>
      <c r="K8" s="26" t="s">
        <v>100</v>
      </c>
      <c r="L8" s="26" t="s">
        <v>366</v>
      </c>
      <c r="M8" s="26" t="s">
        <v>162</v>
      </c>
      <c r="N8" s="26" t="s">
        <v>100</v>
      </c>
      <c r="O8" s="26" t="s">
        <v>372</v>
      </c>
      <c r="P8" s="26" t="s">
        <v>379</v>
      </c>
      <c r="Q8" s="26" t="s">
        <v>382</v>
      </c>
      <c r="R8" s="26" t="s">
        <v>385</v>
      </c>
      <c r="S8" s="26" t="s">
        <v>386</v>
      </c>
      <c r="T8" s="26" t="s">
        <v>115</v>
      </c>
      <c r="U8" s="26" t="s">
        <v>389</v>
      </c>
      <c r="V8" s="26" t="s">
        <v>390</v>
      </c>
      <c r="W8" s="30"/>
      <c r="X8" s="30"/>
      <c r="Y8" s="30"/>
      <c r="Z8" s="30"/>
      <c r="AA8" s="30"/>
      <c r="AB8" s="30"/>
      <c r="AC8" s="30"/>
      <c r="AD8" s="30"/>
      <c r="AE8" s="28" t="str">
        <f t="shared" si="1"/>
        <v/>
      </c>
      <c r="AF8" s="31"/>
      <c r="AG8" s="31"/>
      <c r="AH8" s="29" t="str">
        <f t="shared" si="2"/>
        <v>Not Started</v>
      </c>
    </row>
    <row r="9" ht="396.0" customHeight="1">
      <c r="A9" s="26">
        <v>447.0</v>
      </c>
      <c r="B9" s="27" t="str">
        <f>HYPERLINK("https://github.com/pytorch-fdn/ambassador-program/issues/447","https://github.com/pytorch-fdn/ambassador-program/issues/447")</f>
        <v>https://github.com/pytorch-fdn/ambassador-program/issues/447</v>
      </c>
      <c r="C9" s="26" t="s">
        <v>1170</v>
      </c>
      <c r="D9" s="26" t="s">
        <v>1171</v>
      </c>
      <c r="E9" s="26" t="s">
        <v>1173</v>
      </c>
      <c r="F9" s="26" t="s">
        <v>261</v>
      </c>
      <c r="G9" s="26" t="s">
        <v>1174</v>
      </c>
      <c r="H9" s="26" t="s">
        <v>103</v>
      </c>
      <c r="I9" s="26" t="s">
        <v>100</v>
      </c>
      <c r="J9" s="26" t="s">
        <v>1176</v>
      </c>
      <c r="K9" s="26" t="s">
        <v>100</v>
      </c>
      <c r="L9" s="26" t="s">
        <v>100</v>
      </c>
      <c r="M9" s="26" t="s">
        <v>779</v>
      </c>
      <c r="N9" s="26" t="s">
        <v>100</v>
      </c>
      <c r="O9" s="26" t="s">
        <v>372</v>
      </c>
      <c r="P9" s="26" t="s">
        <v>1177</v>
      </c>
      <c r="Q9" s="26" t="s">
        <v>1178</v>
      </c>
      <c r="R9" s="26" t="s">
        <v>1179</v>
      </c>
      <c r="S9" s="26" t="s">
        <v>1180</v>
      </c>
      <c r="T9" s="26" t="s">
        <v>115</v>
      </c>
      <c r="U9" s="26" t="s">
        <v>145</v>
      </c>
      <c r="V9" s="26" t="s">
        <v>118</v>
      </c>
      <c r="W9" s="30"/>
      <c r="X9" s="30"/>
      <c r="Y9" s="30"/>
      <c r="Z9" s="30"/>
      <c r="AA9" s="30"/>
      <c r="AB9" s="30"/>
      <c r="AC9" s="30"/>
      <c r="AD9" s="30"/>
      <c r="AE9" s="28" t="str">
        <f t="shared" si="1"/>
        <v/>
      </c>
      <c r="AF9" s="31"/>
      <c r="AG9" s="31"/>
      <c r="AH9" s="29" t="str">
        <f t="shared" si="2"/>
        <v>Not Started</v>
      </c>
    </row>
    <row r="10" ht="312.0" customHeight="1">
      <c r="A10" s="26">
        <v>444.0</v>
      </c>
      <c r="B10" s="27" t="str">
        <f>HYPERLINK("https://github.com/pytorch-fdn/ambassador-program/issues/444","https://github.com/pytorch-fdn/ambassador-program/issues/444")</f>
        <v>https://github.com/pytorch-fdn/ambassador-program/issues/444</v>
      </c>
      <c r="C10" s="26" t="s">
        <v>417</v>
      </c>
      <c r="D10" s="26" t="s">
        <v>419</v>
      </c>
      <c r="E10" s="26" t="s">
        <v>421</v>
      </c>
      <c r="F10" s="26" t="s">
        <v>175</v>
      </c>
      <c r="G10" s="26" t="s">
        <v>423</v>
      </c>
      <c r="H10" s="26" t="s">
        <v>103</v>
      </c>
      <c r="I10" s="26" t="s">
        <v>100</v>
      </c>
      <c r="J10" s="26" t="s">
        <v>424</v>
      </c>
      <c r="K10" s="26" t="s">
        <v>100</v>
      </c>
      <c r="L10" s="26" t="s">
        <v>100</v>
      </c>
      <c r="M10" s="26" t="s">
        <v>108</v>
      </c>
      <c r="N10" s="26" t="s">
        <v>100</v>
      </c>
      <c r="O10" s="26" t="s">
        <v>426</v>
      </c>
      <c r="P10" s="26" t="s">
        <v>427</v>
      </c>
      <c r="Q10" s="26" t="s">
        <v>429</v>
      </c>
      <c r="R10" s="26" t="s">
        <v>433</v>
      </c>
      <c r="S10" s="26" t="s">
        <v>435</v>
      </c>
      <c r="T10" s="26" t="s">
        <v>115</v>
      </c>
      <c r="U10" s="26" t="s">
        <v>145</v>
      </c>
      <c r="V10" s="26" t="s">
        <v>436</v>
      </c>
      <c r="W10" s="30"/>
      <c r="X10" s="30"/>
      <c r="Y10" s="30"/>
      <c r="Z10" s="30"/>
      <c r="AA10" s="30"/>
      <c r="AB10" s="30"/>
      <c r="AC10" s="30"/>
      <c r="AD10" s="30"/>
      <c r="AE10" s="28" t="str">
        <f t="shared" si="1"/>
        <v/>
      </c>
      <c r="AF10" s="31"/>
      <c r="AG10" s="31"/>
      <c r="AH10" s="29" t="str">
        <f t="shared" si="2"/>
        <v>Not Started</v>
      </c>
    </row>
    <row r="11" ht="408.75" customHeight="1">
      <c r="A11" s="26">
        <v>439.0</v>
      </c>
      <c r="B11" s="27" t="str">
        <f>HYPERLINK("https://github.com/pytorch-fdn/ambassador-program/issues/439","https://github.com/pytorch-fdn/ambassador-program/issues/439")</f>
        <v>https://github.com/pytorch-fdn/ambassador-program/issues/439</v>
      </c>
      <c r="C11" s="26" t="s">
        <v>1345</v>
      </c>
      <c r="D11" s="26" t="s">
        <v>1346</v>
      </c>
      <c r="E11" s="26" t="s">
        <v>1347</v>
      </c>
      <c r="F11" s="26" t="s">
        <v>95</v>
      </c>
      <c r="G11" s="26" t="s">
        <v>1348</v>
      </c>
      <c r="H11" s="26" t="s">
        <v>103</v>
      </c>
      <c r="I11" s="26" t="s">
        <v>100</v>
      </c>
      <c r="J11" s="26" t="s">
        <v>1350</v>
      </c>
      <c r="K11" s="26" t="s">
        <v>1351</v>
      </c>
      <c r="L11" s="26" t="s">
        <v>100</v>
      </c>
      <c r="M11" s="26" t="s">
        <v>1328</v>
      </c>
      <c r="N11" s="26" t="s">
        <v>100</v>
      </c>
      <c r="O11" s="26" t="s">
        <v>134</v>
      </c>
      <c r="P11" s="26" t="s">
        <v>1358</v>
      </c>
      <c r="Q11" s="26" t="s">
        <v>1363</v>
      </c>
      <c r="R11" s="26" t="s">
        <v>1369</v>
      </c>
      <c r="S11" s="26" t="s">
        <v>144</v>
      </c>
      <c r="T11" s="26" t="s">
        <v>115</v>
      </c>
      <c r="U11" s="26" t="s">
        <v>145</v>
      </c>
      <c r="V11" s="26" t="s">
        <v>1371</v>
      </c>
      <c r="W11" s="30"/>
      <c r="X11" s="30"/>
      <c r="Y11" s="30"/>
      <c r="Z11" s="30"/>
      <c r="AA11" s="30"/>
      <c r="AB11" s="30"/>
      <c r="AC11" s="30"/>
      <c r="AD11" s="30"/>
      <c r="AE11" s="28" t="str">
        <f t="shared" si="1"/>
        <v/>
      </c>
      <c r="AF11" s="31"/>
      <c r="AG11" s="31"/>
      <c r="AH11" s="29" t="str">
        <f t="shared" si="2"/>
        <v>Not Started</v>
      </c>
    </row>
    <row r="12" ht="408.75" customHeight="1">
      <c r="A12" s="26">
        <v>428.0</v>
      </c>
      <c r="B12" s="27" t="str">
        <f>HYPERLINK("https://github.com/pytorch-fdn/ambassador-program/issues/428","https://github.com/pytorch-fdn/ambassador-program/issues/428")</f>
        <v>https://github.com/pytorch-fdn/ambassador-program/issues/428</v>
      </c>
      <c r="C12" s="26" t="s">
        <v>496</v>
      </c>
      <c r="D12" s="26" t="s">
        <v>499</v>
      </c>
      <c r="E12" s="26" t="s">
        <v>501</v>
      </c>
      <c r="F12" s="26" t="s">
        <v>261</v>
      </c>
      <c r="G12" s="26" t="s">
        <v>502</v>
      </c>
      <c r="H12" s="26" t="s">
        <v>98</v>
      </c>
      <c r="I12" s="26" t="s">
        <v>100</v>
      </c>
      <c r="J12" s="26" t="s">
        <v>506</v>
      </c>
      <c r="K12" s="26" t="s">
        <v>508</v>
      </c>
      <c r="L12" s="26" t="s">
        <v>510</v>
      </c>
      <c r="M12" s="26" t="s">
        <v>162</v>
      </c>
      <c r="N12" s="26" t="s">
        <v>100</v>
      </c>
      <c r="O12" s="26" t="s">
        <v>279</v>
      </c>
      <c r="P12" s="26" t="s">
        <v>519</v>
      </c>
      <c r="Q12" s="26" t="s">
        <v>522</v>
      </c>
      <c r="R12" s="26" t="s">
        <v>523</v>
      </c>
      <c r="S12" s="26" t="s">
        <v>144</v>
      </c>
      <c r="T12" s="26" t="s">
        <v>115</v>
      </c>
      <c r="U12" s="26" t="s">
        <v>145</v>
      </c>
      <c r="V12" s="26" t="s">
        <v>524</v>
      </c>
      <c r="W12" s="30"/>
      <c r="X12" s="30"/>
      <c r="Y12" s="30"/>
      <c r="Z12" s="30"/>
      <c r="AA12" s="30"/>
      <c r="AB12" s="30"/>
      <c r="AC12" s="30"/>
      <c r="AD12" s="30"/>
      <c r="AE12" s="28" t="str">
        <f t="shared" si="1"/>
        <v/>
      </c>
      <c r="AF12" s="31"/>
      <c r="AG12" s="31"/>
      <c r="AH12" s="29" t="str">
        <f t="shared" si="2"/>
        <v>Not Started</v>
      </c>
    </row>
    <row r="13" ht="396.0" customHeight="1">
      <c r="A13" s="26">
        <v>426.0</v>
      </c>
      <c r="B13" s="27" t="str">
        <f>HYPERLINK("https://github.com/pytorch-fdn/ambassador-program/issues/426","https://github.com/pytorch-fdn/ambassador-program/issues/426")</f>
        <v>https://github.com/pytorch-fdn/ambassador-program/issues/426</v>
      </c>
      <c r="C13" s="26" t="s">
        <v>1690</v>
      </c>
      <c r="D13" s="26" t="s">
        <v>1691</v>
      </c>
      <c r="E13" s="26" t="s">
        <v>1692</v>
      </c>
      <c r="F13" s="26" t="s">
        <v>95</v>
      </c>
      <c r="G13" s="26" t="s">
        <v>100</v>
      </c>
      <c r="H13" s="26" t="s">
        <v>103</v>
      </c>
      <c r="I13" s="26" t="s">
        <v>100</v>
      </c>
      <c r="J13" s="26" t="s">
        <v>1693</v>
      </c>
      <c r="K13" s="26" t="s">
        <v>100</v>
      </c>
      <c r="L13" s="26" t="s">
        <v>100</v>
      </c>
      <c r="M13" s="26" t="s">
        <v>273</v>
      </c>
      <c r="N13" s="26" t="s">
        <v>100</v>
      </c>
      <c r="O13" s="26" t="s">
        <v>956</v>
      </c>
      <c r="P13" s="26" t="s">
        <v>1694</v>
      </c>
      <c r="Q13" s="26" t="s">
        <v>1695</v>
      </c>
      <c r="R13" s="26" t="s">
        <v>1696</v>
      </c>
      <c r="S13" s="26" t="s">
        <v>1697</v>
      </c>
      <c r="T13" s="26" t="s">
        <v>121</v>
      </c>
      <c r="U13" s="26" t="s">
        <v>255</v>
      </c>
      <c r="V13" s="26" t="s">
        <v>118</v>
      </c>
      <c r="W13" s="30"/>
      <c r="X13" s="30"/>
      <c r="Y13" s="30"/>
      <c r="Z13" s="30"/>
      <c r="AA13" s="30"/>
      <c r="AB13" s="30"/>
      <c r="AC13" s="30"/>
      <c r="AD13" s="30"/>
      <c r="AE13" s="28" t="str">
        <f t="shared" si="1"/>
        <v/>
      </c>
      <c r="AF13" s="31"/>
      <c r="AG13" s="31"/>
      <c r="AH13" s="29" t="str">
        <f t="shared" si="2"/>
        <v>Not Started</v>
      </c>
    </row>
    <row r="14" ht="408.75" customHeight="1">
      <c r="A14" s="26">
        <v>422.0</v>
      </c>
      <c r="B14" s="27" t="str">
        <f>HYPERLINK("https://github.com/pytorch-fdn/ambassador-program/issues/422","https://github.com/pytorch-fdn/ambassador-program/issues/422")</f>
        <v>https://github.com/pytorch-fdn/ambassador-program/issues/422</v>
      </c>
      <c r="C14" s="26" t="s">
        <v>672</v>
      </c>
      <c r="D14" s="26" t="s">
        <v>673</v>
      </c>
      <c r="E14" s="26" t="s">
        <v>675</v>
      </c>
      <c r="F14" s="26" t="s">
        <v>99</v>
      </c>
      <c r="G14" s="26" t="s">
        <v>677</v>
      </c>
      <c r="H14" s="26" t="s">
        <v>103</v>
      </c>
      <c r="I14" s="26" t="s">
        <v>100</v>
      </c>
      <c r="J14" s="26" t="s">
        <v>678</v>
      </c>
      <c r="K14" s="26" t="s">
        <v>679</v>
      </c>
      <c r="L14" s="26" t="s">
        <v>100</v>
      </c>
      <c r="M14" s="26" t="s">
        <v>108</v>
      </c>
      <c r="N14" s="26" t="s">
        <v>100</v>
      </c>
      <c r="O14" s="26" t="s">
        <v>680</v>
      </c>
      <c r="P14" s="26" t="s">
        <v>681</v>
      </c>
      <c r="Q14" s="26" t="s">
        <v>682</v>
      </c>
      <c r="R14" s="26" t="s">
        <v>683</v>
      </c>
      <c r="S14" s="26" t="s">
        <v>684</v>
      </c>
      <c r="T14" s="26" t="s">
        <v>115</v>
      </c>
      <c r="U14" s="26" t="s">
        <v>685</v>
      </c>
      <c r="V14" s="26" t="s">
        <v>118</v>
      </c>
      <c r="W14" s="30"/>
      <c r="X14" s="30"/>
      <c r="Y14" s="30"/>
      <c r="Z14" s="30"/>
      <c r="AA14" s="30"/>
      <c r="AB14" s="30"/>
      <c r="AC14" s="30"/>
      <c r="AD14" s="30"/>
      <c r="AE14" s="28" t="str">
        <f t="shared" si="1"/>
        <v/>
      </c>
      <c r="AF14" s="31"/>
      <c r="AG14" s="31"/>
      <c r="AH14" s="29" t="str">
        <f t="shared" si="2"/>
        <v>Not Started</v>
      </c>
    </row>
    <row r="15" ht="408.75" customHeight="1">
      <c r="A15" s="26">
        <v>421.0</v>
      </c>
      <c r="B15" s="27" t="str">
        <f>HYPERLINK("https://github.com/pytorch-fdn/ambassador-program/issues/421","https://github.com/pytorch-fdn/ambassador-program/issues/421")</f>
        <v>https://github.com/pytorch-fdn/ambassador-program/issues/421</v>
      </c>
      <c r="C15" s="26" t="s">
        <v>1256</v>
      </c>
      <c r="D15" s="26" t="s">
        <v>1259</v>
      </c>
      <c r="E15" s="26" t="s">
        <v>129</v>
      </c>
      <c r="F15" s="26" t="s">
        <v>99</v>
      </c>
      <c r="G15" s="26" t="s">
        <v>1263</v>
      </c>
      <c r="H15" s="26" t="s">
        <v>103</v>
      </c>
      <c r="I15" s="26" t="s">
        <v>100</v>
      </c>
      <c r="J15" s="26" t="s">
        <v>1267</v>
      </c>
      <c r="K15" s="26" t="s">
        <v>100</v>
      </c>
      <c r="L15" s="26" t="s">
        <v>100</v>
      </c>
      <c r="M15" s="26" t="s">
        <v>108</v>
      </c>
      <c r="N15" s="26" t="s">
        <v>100</v>
      </c>
      <c r="O15" s="26" t="s">
        <v>1271</v>
      </c>
      <c r="P15" s="26" t="s">
        <v>1273</v>
      </c>
      <c r="Q15" s="26" t="s">
        <v>1274</v>
      </c>
      <c r="R15" s="26" t="s">
        <v>1276</v>
      </c>
      <c r="S15" s="26" t="s">
        <v>144</v>
      </c>
      <c r="T15" s="26" t="s">
        <v>115</v>
      </c>
      <c r="U15" s="26" t="s">
        <v>145</v>
      </c>
      <c r="V15" s="26" t="s">
        <v>1281</v>
      </c>
      <c r="W15" s="30"/>
      <c r="X15" s="30"/>
      <c r="Y15" s="30"/>
      <c r="Z15" s="30"/>
      <c r="AA15" s="30"/>
      <c r="AB15" s="30"/>
      <c r="AC15" s="30"/>
      <c r="AD15" s="30"/>
      <c r="AE15" s="28" t="str">
        <f t="shared" si="1"/>
        <v/>
      </c>
      <c r="AF15" s="31"/>
      <c r="AG15" s="31"/>
      <c r="AH15" s="29" t="str">
        <f t="shared" si="2"/>
        <v>Not Started</v>
      </c>
    </row>
    <row r="16" ht="264.0" customHeight="1">
      <c r="A16" s="26">
        <v>419.0</v>
      </c>
      <c r="B16" s="27" t="str">
        <f>HYPERLINK("https://github.com/pytorch-fdn/ambassador-program/issues/419","https://github.com/pytorch-fdn/ambassador-program/issues/419")</f>
        <v>https://github.com/pytorch-fdn/ambassador-program/issues/419</v>
      </c>
      <c r="C16" s="26" t="s">
        <v>1318</v>
      </c>
      <c r="D16" s="26" t="s">
        <v>1319</v>
      </c>
      <c r="E16" s="26" t="s">
        <v>1321</v>
      </c>
      <c r="F16" s="26" t="s">
        <v>261</v>
      </c>
      <c r="G16" s="26" t="s">
        <v>1322</v>
      </c>
      <c r="H16" s="26" t="s">
        <v>103</v>
      </c>
      <c r="I16" s="26" t="s">
        <v>100</v>
      </c>
      <c r="J16" s="26" t="s">
        <v>1326</v>
      </c>
      <c r="K16" s="26" t="s">
        <v>100</v>
      </c>
      <c r="L16" s="26" t="s">
        <v>100</v>
      </c>
      <c r="M16" s="26" t="s">
        <v>1328</v>
      </c>
      <c r="N16" s="26" t="s">
        <v>100</v>
      </c>
      <c r="O16" s="26" t="s">
        <v>1282</v>
      </c>
      <c r="P16" s="26" t="s">
        <v>1329</v>
      </c>
      <c r="Q16" s="26" t="s">
        <v>1330</v>
      </c>
      <c r="R16" s="26" t="s">
        <v>1331</v>
      </c>
      <c r="S16" s="26" t="s">
        <v>144</v>
      </c>
      <c r="T16" s="26" t="s">
        <v>115</v>
      </c>
      <c r="U16" s="26" t="s">
        <v>247</v>
      </c>
      <c r="V16" s="26" t="s">
        <v>1336</v>
      </c>
      <c r="W16" s="30"/>
      <c r="X16" s="30"/>
      <c r="Y16" s="30"/>
      <c r="Z16" s="30"/>
      <c r="AA16" s="30"/>
      <c r="AB16" s="30"/>
      <c r="AC16" s="30"/>
      <c r="AD16" s="30"/>
      <c r="AE16" s="28" t="str">
        <f t="shared" si="1"/>
        <v/>
      </c>
      <c r="AF16" s="31"/>
      <c r="AG16" s="31"/>
      <c r="AH16" s="29" t="str">
        <f t="shared" si="2"/>
        <v>Not Started</v>
      </c>
    </row>
    <row r="17" ht="312.0" customHeight="1">
      <c r="A17" s="26">
        <v>412.0</v>
      </c>
      <c r="B17" s="27" t="str">
        <f>HYPERLINK("https://github.com/pytorch-fdn/ambassador-program/issues/412","https://github.com/pytorch-fdn/ambassador-program/issues/412")</f>
        <v>https://github.com/pytorch-fdn/ambassador-program/issues/412</v>
      </c>
      <c r="C17" s="26" t="s">
        <v>1647</v>
      </c>
      <c r="D17" s="26" t="s">
        <v>1648</v>
      </c>
      <c r="E17" s="26" t="s">
        <v>1649</v>
      </c>
      <c r="F17" s="26" t="s">
        <v>95</v>
      </c>
      <c r="G17" s="26" t="s">
        <v>1650</v>
      </c>
      <c r="H17" s="26" t="s">
        <v>103</v>
      </c>
      <c r="I17" s="26" t="s">
        <v>100</v>
      </c>
      <c r="J17" s="26" t="s">
        <v>1651</v>
      </c>
      <c r="K17" s="26" t="s">
        <v>100</v>
      </c>
      <c r="L17" s="26" t="s">
        <v>100</v>
      </c>
      <c r="M17" s="26" t="s">
        <v>835</v>
      </c>
      <c r="N17" s="26" t="s">
        <v>100</v>
      </c>
      <c r="O17" s="26" t="s">
        <v>1652</v>
      </c>
      <c r="P17" s="26" t="s">
        <v>1653</v>
      </c>
      <c r="Q17" s="26" t="s">
        <v>1654</v>
      </c>
      <c r="R17" s="26" t="s">
        <v>1655</v>
      </c>
      <c r="S17" s="26" t="s">
        <v>144</v>
      </c>
      <c r="T17" s="26" t="s">
        <v>121</v>
      </c>
      <c r="U17" s="26" t="s">
        <v>255</v>
      </c>
      <c r="V17" s="26" t="s">
        <v>118</v>
      </c>
      <c r="W17" s="30"/>
      <c r="X17" s="30"/>
      <c r="Y17" s="30"/>
      <c r="Z17" s="30"/>
      <c r="AA17" s="30"/>
      <c r="AB17" s="30"/>
      <c r="AC17" s="30"/>
      <c r="AD17" s="30"/>
      <c r="AE17" s="28" t="str">
        <f t="shared" si="1"/>
        <v/>
      </c>
      <c r="AF17" s="31"/>
      <c r="AG17" s="31"/>
      <c r="AH17" s="29" t="str">
        <f t="shared" si="2"/>
        <v>Not Started</v>
      </c>
    </row>
    <row r="18" ht="300.0" customHeight="1">
      <c r="A18" s="26">
        <v>406.0</v>
      </c>
      <c r="B18" s="27" t="str">
        <f>HYPERLINK("https://github.com/pytorch-fdn/ambassador-program/issues/406","https://github.com/pytorch-fdn/ambassador-program/issues/406")</f>
        <v>https://github.com/pytorch-fdn/ambassador-program/issues/406</v>
      </c>
      <c r="C18" s="26" t="s">
        <v>1670</v>
      </c>
      <c r="D18" s="26" t="s">
        <v>1671</v>
      </c>
      <c r="E18" s="26" t="s">
        <v>1672</v>
      </c>
      <c r="F18" s="26" t="s">
        <v>95</v>
      </c>
      <c r="G18" s="26" t="s">
        <v>1673</v>
      </c>
      <c r="H18" s="26" t="s">
        <v>103</v>
      </c>
      <c r="I18" s="26" t="s">
        <v>100</v>
      </c>
      <c r="J18" s="26" t="s">
        <v>100</v>
      </c>
      <c r="K18" s="26" t="s">
        <v>100</v>
      </c>
      <c r="L18" s="26" t="s">
        <v>100</v>
      </c>
      <c r="M18" s="26" t="s">
        <v>162</v>
      </c>
      <c r="N18" s="26" t="s">
        <v>100</v>
      </c>
      <c r="O18" s="26" t="s">
        <v>680</v>
      </c>
      <c r="P18" s="26" t="s">
        <v>1675</v>
      </c>
      <c r="Q18" s="26" t="s">
        <v>1676</v>
      </c>
      <c r="R18" s="26" t="s">
        <v>1677</v>
      </c>
      <c r="S18" s="26" t="s">
        <v>144</v>
      </c>
      <c r="T18" s="26" t="s">
        <v>115</v>
      </c>
      <c r="U18" s="26" t="s">
        <v>247</v>
      </c>
      <c r="V18" s="26" t="s">
        <v>118</v>
      </c>
      <c r="W18" s="30"/>
      <c r="X18" s="30"/>
      <c r="Y18" s="30"/>
      <c r="Z18" s="30"/>
      <c r="AA18" s="30"/>
      <c r="AB18" s="30"/>
      <c r="AC18" s="30"/>
      <c r="AD18" s="30"/>
      <c r="AE18" s="28" t="str">
        <f t="shared" si="1"/>
        <v/>
      </c>
      <c r="AF18" s="31"/>
      <c r="AG18" s="31"/>
      <c r="AH18" s="29" t="str">
        <f t="shared" si="2"/>
        <v>Not Started</v>
      </c>
    </row>
    <row r="19" ht="228.0" customHeight="1">
      <c r="A19" s="26">
        <v>397.0</v>
      </c>
      <c r="B19" s="27" t="str">
        <f>HYPERLINK("https://github.com/pytorch-fdn/ambassador-program/issues/397","https://github.com/pytorch-fdn/ambassador-program/issues/397")</f>
        <v>https://github.com/pytorch-fdn/ambassador-program/issues/397</v>
      </c>
      <c r="C19" s="26" t="s">
        <v>848</v>
      </c>
      <c r="D19" s="26" t="s">
        <v>849</v>
      </c>
      <c r="E19" s="26" t="s">
        <v>851</v>
      </c>
      <c r="F19" s="26" t="s">
        <v>95</v>
      </c>
      <c r="G19" s="26" t="s">
        <v>853</v>
      </c>
      <c r="H19" s="26" t="s">
        <v>103</v>
      </c>
      <c r="I19" s="26" t="s">
        <v>100</v>
      </c>
      <c r="J19" s="26" t="s">
        <v>855</v>
      </c>
      <c r="K19" s="26" t="s">
        <v>856</v>
      </c>
      <c r="L19" s="26" t="s">
        <v>100</v>
      </c>
      <c r="M19" s="26" t="s">
        <v>106</v>
      </c>
      <c r="N19" s="26" t="s">
        <v>100</v>
      </c>
      <c r="O19" s="26" t="s">
        <v>556</v>
      </c>
      <c r="P19" s="26" t="s">
        <v>859</v>
      </c>
      <c r="Q19" s="26" t="s">
        <v>860</v>
      </c>
      <c r="R19" s="26" t="s">
        <v>861</v>
      </c>
      <c r="S19" s="26" t="s">
        <v>862</v>
      </c>
      <c r="T19" s="26" t="s">
        <v>115</v>
      </c>
      <c r="U19" s="26" t="s">
        <v>866</v>
      </c>
      <c r="V19" s="26" t="s">
        <v>868</v>
      </c>
      <c r="W19" s="30"/>
      <c r="X19" s="30"/>
      <c r="Y19" s="30"/>
      <c r="Z19" s="30"/>
      <c r="AA19" s="30"/>
      <c r="AB19" s="30"/>
      <c r="AC19" s="30"/>
      <c r="AD19" s="30"/>
      <c r="AE19" s="28" t="str">
        <f t="shared" si="1"/>
        <v/>
      </c>
      <c r="AF19" s="31"/>
      <c r="AG19" s="31"/>
      <c r="AH19" s="29" t="str">
        <f t="shared" si="2"/>
        <v>Not Started</v>
      </c>
    </row>
    <row r="20" ht="126.0" customHeight="1">
      <c r="A20" s="26">
        <v>388.0</v>
      </c>
      <c r="B20" s="27" t="str">
        <f>HYPERLINK("https://github.com/pytorch-fdn/ambassador-program/issues/388","https://github.com/pytorch-fdn/ambassador-program/issues/388")</f>
        <v>https://github.com/pytorch-fdn/ambassador-program/issues/388</v>
      </c>
      <c r="C20" s="26" t="s">
        <v>599</v>
      </c>
      <c r="D20" s="26" t="s">
        <v>601</v>
      </c>
      <c r="E20" s="26" t="s">
        <v>602</v>
      </c>
      <c r="F20" s="26" t="s">
        <v>99</v>
      </c>
      <c r="G20" s="26" t="s">
        <v>604</v>
      </c>
      <c r="H20" s="26" t="s">
        <v>103</v>
      </c>
      <c r="I20" s="26" t="s">
        <v>100</v>
      </c>
      <c r="J20" s="26" t="s">
        <v>606</v>
      </c>
      <c r="K20" s="26" t="s">
        <v>100</v>
      </c>
      <c r="L20" s="26" t="s">
        <v>100</v>
      </c>
      <c r="M20" s="26" t="s">
        <v>108</v>
      </c>
      <c r="N20" s="26" t="s">
        <v>100</v>
      </c>
      <c r="O20" s="26" t="s">
        <v>188</v>
      </c>
      <c r="P20" s="26" t="s">
        <v>611</v>
      </c>
      <c r="Q20" s="26" t="s">
        <v>613</v>
      </c>
      <c r="R20" s="26" t="s">
        <v>615</v>
      </c>
      <c r="S20" s="26" t="s">
        <v>616</v>
      </c>
      <c r="T20" s="26" t="s">
        <v>617</v>
      </c>
      <c r="U20" s="26" t="s">
        <v>145</v>
      </c>
      <c r="V20" s="26" t="s">
        <v>118</v>
      </c>
      <c r="W20" s="30"/>
      <c r="X20" s="30"/>
      <c r="Y20" s="30"/>
      <c r="Z20" s="30"/>
      <c r="AA20" s="30"/>
      <c r="AB20" s="30"/>
      <c r="AC20" s="30"/>
      <c r="AD20" s="30"/>
      <c r="AE20" s="28" t="str">
        <f t="shared" si="1"/>
        <v/>
      </c>
      <c r="AF20" s="31"/>
      <c r="AG20" s="31"/>
      <c r="AH20" s="29" t="str">
        <f t="shared" si="2"/>
        <v>Not Started</v>
      </c>
    </row>
    <row r="21" ht="240.0" customHeight="1">
      <c r="A21" s="26">
        <v>383.0</v>
      </c>
      <c r="B21" s="27" t="str">
        <f>HYPERLINK("https://github.com/pytorch-fdn/ambassador-program/issues/383","https://github.com/pytorch-fdn/ambassador-program/issues/383")</f>
        <v>https://github.com/pytorch-fdn/ambassador-program/issues/383</v>
      </c>
      <c r="C21" s="26" t="s">
        <v>1313</v>
      </c>
      <c r="D21" s="26" t="s">
        <v>1314</v>
      </c>
      <c r="E21" s="26" t="s">
        <v>1316</v>
      </c>
      <c r="F21" s="26" t="s">
        <v>95</v>
      </c>
      <c r="G21" s="26" t="s">
        <v>1317</v>
      </c>
      <c r="H21" s="26" t="s">
        <v>103</v>
      </c>
      <c r="I21" s="26" t="s">
        <v>100</v>
      </c>
      <c r="J21" s="26" t="s">
        <v>1320</v>
      </c>
      <c r="K21" s="26" t="s">
        <v>100</v>
      </c>
      <c r="L21" s="26" t="s">
        <v>100</v>
      </c>
      <c r="M21" s="26" t="s">
        <v>108</v>
      </c>
      <c r="N21" s="26" t="s">
        <v>100</v>
      </c>
      <c r="O21" s="26" t="s">
        <v>1323</v>
      </c>
      <c r="P21" s="26" t="s">
        <v>1324</v>
      </c>
      <c r="Q21" s="26" t="s">
        <v>1325</v>
      </c>
      <c r="R21" s="26" t="s">
        <v>1327</v>
      </c>
      <c r="S21" s="26" t="s">
        <v>399</v>
      </c>
      <c r="T21" s="26" t="s">
        <v>551</v>
      </c>
      <c r="U21" s="26" t="s">
        <v>552</v>
      </c>
      <c r="V21" s="26" t="s">
        <v>118</v>
      </c>
      <c r="W21" s="30"/>
      <c r="X21" s="30"/>
      <c r="Y21" s="30"/>
      <c r="Z21" s="30"/>
      <c r="AA21" s="30"/>
      <c r="AB21" s="30"/>
      <c r="AC21" s="30"/>
      <c r="AD21" s="30"/>
      <c r="AE21" s="28" t="str">
        <f t="shared" si="1"/>
        <v/>
      </c>
      <c r="AF21" s="31"/>
      <c r="AG21" s="31"/>
      <c r="AH21" s="29" t="str">
        <f t="shared" si="2"/>
        <v>Not Started</v>
      </c>
    </row>
    <row r="22" ht="408.75" customHeight="1">
      <c r="A22" s="26">
        <v>382.0</v>
      </c>
      <c r="B22" s="27" t="str">
        <f>HYPERLINK("https://github.com/pytorch-fdn/ambassador-program/issues/382","https://github.com/pytorch-fdn/ambassador-program/issues/382")</f>
        <v>https://github.com/pytorch-fdn/ambassador-program/issues/382</v>
      </c>
      <c r="C22" s="26" t="s">
        <v>830</v>
      </c>
      <c r="D22" s="26" t="s">
        <v>831</v>
      </c>
      <c r="E22" s="26" t="s">
        <v>832</v>
      </c>
      <c r="F22" s="26" t="s">
        <v>175</v>
      </c>
      <c r="G22" s="26" t="s">
        <v>100</v>
      </c>
      <c r="H22" s="26" t="s">
        <v>103</v>
      </c>
      <c r="I22" s="26" t="s">
        <v>100</v>
      </c>
      <c r="J22" s="26" t="s">
        <v>834</v>
      </c>
      <c r="K22" s="26" t="s">
        <v>100</v>
      </c>
      <c r="L22" s="26" t="s">
        <v>100</v>
      </c>
      <c r="M22" s="26" t="s">
        <v>835</v>
      </c>
      <c r="N22" s="26" t="s">
        <v>100</v>
      </c>
      <c r="O22" s="26" t="s">
        <v>789</v>
      </c>
      <c r="P22" s="26" t="s">
        <v>838</v>
      </c>
      <c r="Q22" s="26" t="s">
        <v>841</v>
      </c>
      <c r="R22" s="26" t="s">
        <v>845</v>
      </c>
      <c r="S22" s="26" t="s">
        <v>144</v>
      </c>
      <c r="T22" s="26" t="s">
        <v>115</v>
      </c>
      <c r="U22" s="26" t="s">
        <v>145</v>
      </c>
      <c r="V22" s="26" t="s">
        <v>118</v>
      </c>
      <c r="W22" s="30"/>
      <c r="X22" s="30"/>
      <c r="Y22" s="30"/>
      <c r="Z22" s="30"/>
      <c r="AA22" s="30"/>
      <c r="AB22" s="30"/>
      <c r="AC22" s="30"/>
      <c r="AD22" s="30"/>
      <c r="AE22" s="28" t="str">
        <f t="shared" si="1"/>
        <v/>
      </c>
      <c r="AF22" s="31"/>
      <c r="AG22" s="31"/>
      <c r="AH22" s="29" t="str">
        <f t="shared" si="2"/>
        <v>Not Started</v>
      </c>
    </row>
    <row r="23" ht="336.0" customHeight="1">
      <c r="A23" s="26">
        <v>374.0</v>
      </c>
      <c r="B23" s="27" t="str">
        <f>HYPERLINK("https://github.com/pytorch-fdn/ambassador-program/issues/374","https://github.com/pytorch-fdn/ambassador-program/issues/374")</f>
        <v>https://github.com/pytorch-fdn/ambassador-program/issues/374</v>
      </c>
      <c r="C23" s="26" t="s">
        <v>1523</v>
      </c>
      <c r="D23" s="26" t="s">
        <v>1524</v>
      </c>
      <c r="E23" s="26" t="s">
        <v>1525</v>
      </c>
      <c r="F23" s="26" t="s">
        <v>175</v>
      </c>
      <c r="G23" s="26" t="s">
        <v>1526</v>
      </c>
      <c r="H23" s="26" t="s">
        <v>98</v>
      </c>
      <c r="I23" s="26" t="s">
        <v>100</v>
      </c>
      <c r="J23" s="26" t="s">
        <v>1527</v>
      </c>
      <c r="K23" s="26" t="s">
        <v>1528</v>
      </c>
      <c r="L23" s="26" t="s">
        <v>1529</v>
      </c>
      <c r="M23" s="26" t="s">
        <v>162</v>
      </c>
      <c r="N23" s="26" t="s">
        <v>100</v>
      </c>
      <c r="O23" s="26" t="s">
        <v>1530</v>
      </c>
      <c r="P23" s="26" t="s">
        <v>1531</v>
      </c>
      <c r="Q23" s="26" t="s">
        <v>1532</v>
      </c>
      <c r="R23" s="26" t="s">
        <v>1533</v>
      </c>
      <c r="S23" s="26" t="s">
        <v>1534</v>
      </c>
      <c r="T23" s="26" t="s">
        <v>115</v>
      </c>
      <c r="U23" s="26" t="s">
        <v>247</v>
      </c>
      <c r="V23" s="26" t="s">
        <v>1535</v>
      </c>
      <c r="W23" s="30"/>
      <c r="X23" s="30"/>
      <c r="Y23" s="30"/>
      <c r="Z23" s="30"/>
      <c r="AA23" s="30"/>
      <c r="AB23" s="30"/>
      <c r="AC23" s="30"/>
      <c r="AD23" s="30"/>
      <c r="AE23" s="28" t="str">
        <f t="shared" si="1"/>
        <v/>
      </c>
      <c r="AF23" s="31"/>
      <c r="AG23" s="31"/>
      <c r="AH23" s="29" t="str">
        <f t="shared" si="2"/>
        <v>Not Started</v>
      </c>
    </row>
    <row r="24" ht="360.0" customHeight="1">
      <c r="A24" s="26">
        <v>358.0</v>
      </c>
      <c r="B24" s="27" t="str">
        <f>HYPERLINK("https://github.com/pytorch-fdn/ambassador-program/issues/358","https://github.com/pytorch-fdn/ambassador-program/issues/358")</f>
        <v>https://github.com/pytorch-fdn/ambassador-program/issues/358</v>
      </c>
      <c r="C24" s="26" t="s">
        <v>1431</v>
      </c>
      <c r="D24" s="26" t="s">
        <v>1432</v>
      </c>
      <c r="E24" s="26" t="s">
        <v>560</v>
      </c>
      <c r="F24" s="26" t="s">
        <v>95</v>
      </c>
      <c r="G24" s="26" t="s">
        <v>1436</v>
      </c>
      <c r="H24" s="26" t="s">
        <v>103</v>
      </c>
      <c r="I24" s="26" t="s">
        <v>100</v>
      </c>
      <c r="J24" s="26" t="s">
        <v>1438</v>
      </c>
      <c r="K24" s="26" t="s">
        <v>100</v>
      </c>
      <c r="L24" s="26" t="s">
        <v>100</v>
      </c>
      <c r="M24" s="26" t="s">
        <v>273</v>
      </c>
      <c r="N24" s="26" t="s">
        <v>100</v>
      </c>
      <c r="O24" s="26" t="s">
        <v>1440</v>
      </c>
      <c r="P24" s="26" t="s">
        <v>1443</v>
      </c>
      <c r="Q24" s="26" t="s">
        <v>1444</v>
      </c>
      <c r="R24" s="26" t="s">
        <v>1446</v>
      </c>
      <c r="S24" s="26" t="s">
        <v>1448</v>
      </c>
      <c r="T24" s="26" t="s">
        <v>115</v>
      </c>
      <c r="U24" s="26" t="s">
        <v>247</v>
      </c>
      <c r="V24" s="26" t="s">
        <v>118</v>
      </c>
      <c r="W24" s="30"/>
      <c r="X24" s="30"/>
      <c r="Y24" s="30"/>
      <c r="Z24" s="30"/>
      <c r="AA24" s="30"/>
      <c r="AB24" s="30"/>
      <c r="AC24" s="30"/>
      <c r="AD24" s="30"/>
      <c r="AE24" s="28" t="str">
        <f t="shared" si="1"/>
        <v/>
      </c>
      <c r="AF24" s="31"/>
      <c r="AG24" s="31"/>
      <c r="AH24" s="29" t="str">
        <f t="shared" si="2"/>
        <v>Not Started</v>
      </c>
    </row>
    <row r="25" ht="324.0" customHeight="1">
      <c r="A25" s="26">
        <v>348.0</v>
      </c>
      <c r="B25" s="27" t="str">
        <f>HYPERLINK("https://github.com/pytorch-fdn/ambassador-program/issues/348","https://github.com/pytorch-fdn/ambassador-program/issues/348")</f>
        <v>https://github.com/pytorch-fdn/ambassador-program/issues/348</v>
      </c>
      <c r="C25" s="26" t="s">
        <v>892</v>
      </c>
      <c r="D25" s="26" t="s">
        <v>894</v>
      </c>
      <c r="E25" s="26" t="s">
        <v>866</v>
      </c>
      <c r="F25" s="26" t="s">
        <v>261</v>
      </c>
      <c r="G25" s="26" t="s">
        <v>898</v>
      </c>
      <c r="H25" s="26" t="s">
        <v>103</v>
      </c>
      <c r="I25" s="26" t="s">
        <v>100</v>
      </c>
      <c r="J25" s="26" t="s">
        <v>100</v>
      </c>
      <c r="K25" s="26" t="s">
        <v>100</v>
      </c>
      <c r="L25" s="26" t="s">
        <v>100</v>
      </c>
      <c r="M25" s="26" t="s">
        <v>905</v>
      </c>
      <c r="N25" s="26" t="s">
        <v>906</v>
      </c>
      <c r="O25" s="26" t="s">
        <v>907</v>
      </c>
      <c r="P25" s="26" t="s">
        <v>908</v>
      </c>
      <c r="Q25" s="26" t="s">
        <v>910</v>
      </c>
      <c r="R25" s="26" t="s">
        <v>911</v>
      </c>
      <c r="S25" s="26" t="s">
        <v>777</v>
      </c>
      <c r="T25" s="26" t="s">
        <v>115</v>
      </c>
      <c r="U25" s="26" t="s">
        <v>866</v>
      </c>
      <c r="V25" s="26" t="s">
        <v>118</v>
      </c>
      <c r="W25" s="30"/>
      <c r="X25" s="30"/>
      <c r="Y25" s="30"/>
      <c r="Z25" s="30"/>
      <c r="AA25" s="30"/>
      <c r="AB25" s="30"/>
      <c r="AC25" s="30"/>
      <c r="AD25" s="30"/>
      <c r="AE25" s="28" t="str">
        <f t="shared" si="1"/>
        <v/>
      </c>
      <c r="AF25" s="31"/>
      <c r="AG25" s="31"/>
      <c r="AH25" s="29" t="str">
        <f t="shared" si="2"/>
        <v>Not Started</v>
      </c>
    </row>
    <row r="26" ht="408.75" customHeight="1">
      <c r="A26" s="26">
        <v>345.0</v>
      </c>
      <c r="B26" s="27" t="str">
        <f>HYPERLINK("https://github.com/pytorch-fdn/ambassador-program/issues/345","https://github.com/pytorch-fdn/ambassador-program/issues/345")</f>
        <v>https://github.com/pytorch-fdn/ambassador-program/issues/345</v>
      </c>
      <c r="C26" s="26" t="s">
        <v>1728</v>
      </c>
      <c r="D26" s="26" t="s">
        <v>1729</v>
      </c>
      <c r="E26" s="26" t="s">
        <v>1730</v>
      </c>
      <c r="F26" s="26" t="s">
        <v>175</v>
      </c>
      <c r="G26" s="26" t="s">
        <v>1731</v>
      </c>
      <c r="H26" s="26" t="s">
        <v>98</v>
      </c>
      <c r="I26" s="26" t="s">
        <v>100</v>
      </c>
      <c r="J26" s="26" t="s">
        <v>1732</v>
      </c>
      <c r="K26" s="26" t="s">
        <v>100</v>
      </c>
      <c r="L26" s="26" t="s">
        <v>1733</v>
      </c>
      <c r="M26" s="26" t="s">
        <v>642</v>
      </c>
      <c r="N26" s="26" t="s">
        <v>100</v>
      </c>
      <c r="O26" s="26" t="s">
        <v>658</v>
      </c>
      <c r="P26" s="26" t="s">
        <v>1734</v>
      </c>
      <c r="Q26" s="26" t="s">
        <v>1735</v>
      </c>
      <c r="R26" s="26" t="s">
        <v>1736</v>
      </c>
      <c r="S26" s="26" t="s">
        <v>777</v>
      </c>
      <c r="T26" s="26" t="s">
        <v>115</v>
      </c>
      <c r="U26" s="26" t="s">
        <v>262</v>
      </c>
      <c r="V26" s="26" t="s">
        <v>1737</v>
      </c>
      <c r="W26" s="30"/>
      <c r="X26" s="30"/>
      <c r="Y26" s="30"/>
      <c r="Z26" s="30"/>
      <c r="AA26" s="30"/>
      <c r="AB26" s="30"/>
      <c r="AC26" s="30"/>
      <c r="AD26" s="30"/>
      <c r="AE26" s="28" t="str">
        <f t="shared" si="1"/>
        <v/>
      </c>
      <c r="AF26" s="31"/>
      <c r="AG26" s="31"/>
      <c r="AH26" s="29" t="str">
        <f t="shared" si="2"/>
        <v>Not Started</v>
      </c>
    </row>
    <row r="27" ht="408.0" customHeight="1">
      <c r="A27" s="26">
        <v>341.0</v>
      </c>
      <c r="B27" s="27" t="str">
        <f>HYPERLINK("https://github.com/pytorch-fdn/ambassador-program/issues/341","https://github.com/pytorch-fdn/ambassador-program/issues/341")</f>
        <v>https://github.com/pytorch-fdn/ambassador-program/issues/341</v>
      </c>
      <c r="C27" s="26" t="s">
        <v>1077</v>
      </c>
      <c r="D27" s="26" t="s">
        <v>1079</v>
      </c>
      <c r="E27" s="26" t="s">
        <v>1080</v>
      </c>
      <c r="F27" s="26" t="s">
        <v>95</v>
      </c>
      <c r="G27" s="26" t="s">
        <v>1081</v>
      </c>
      <c r="H27" s="26" t="s">
        <v>103</v>
      </c>
      <c r="I27" s="26" t="s">
        <v>100</v>
      </c>
      <c r="J27" s="26" t="s">
        <v>1082</v>
      </c>
      <c r="K27" s="26" t="s">
        <v>100</v>
      </c>
      <c r="L27" s="26" t="s">
        <v>100</v>
      </c>
      <c r="M27" s="26" t="s">
        <v>108</v>
      </c>
      <c r="N27" s="26" t="s">
        <v>100</v>
      </c>
      <c r="O27" s="26" t="s">
        <v>488</v>
      </c>
      <c r="P27" s="26" t="s">
        <v>1083</v>
      </c>
      <c r="Q27" s="26" t="s">
        <v>1084</v>
      </c>
      <c r="R27" s="26" t="s">
        <v>1085</v>
      </c>
      <c r="S27" s="26" t="s">
        <v>1086</v>
      </c>
      <c r="T27" s="26" t="s">
        <v>121</v>
      </c>
      <c r="U27" s="26" t="s">
        <v>854</v>
      </c>
      <c r="V27" s="26" t="s">
        <v>1087</v>
      </c>
      <c r="W27" s="30"/>
      <c r="X27" s="30"/>
      <c r="Y27" s="30"/>
      <c r="Z27" s="30"/>
      <c r="AA27" s="30"/>
      <c r="AB27" s="30"/>
      <c r="AC27" s="30"/>
      <c r="AD27" s="30"/>
      <c r="AE27" s="28" t="str">
        <f t="shared" si="1"/>
        <v/>
      </c>
      <c r="AF27" s="31"/>
      <c r="AG27" s="31"/>
      <c r="AH27" s="29" t="str">
        <f t="shared" si="2"/>
        <v>Not Started</v>
      </c>
    </row>
    <row r="28" ht="408.75" customHeight="1">
      <c r="A28" s="26">
        <v>332.0</v>
      </c>
      <c r="B28" s="27" t="str">
        <f>HYPERLINK("https://github.com/pytorch-fdn/ambassador-program/issues/332","https://github.com/pytorch-fdn/ambassador-program/issues/332")</f>
        <v>https://github.com/pytorch-fdn/ambassador-program/issues/332</v>
      </c>
      <c r="C28" s="26" t="s">
        <v>1011</v>
      </c>
      <c r="D28" s="26" t="s">
        <v>1013</v>
      </c>
      <c r="E28" s="26" t="s">
        <v>369</v>
      </c>
      <c r="F28" s="26" t="s">
        <v>261</v>
      </c>
      <c r="G28" s="26" t="s">
        <v>1016</v>
      </c>
      <c r="H28" s="26" t="s">
        <v>98</v>
      </c>
      <c r="I28" s="26" t="s">
        <v>100</v>
      </c>
      <c r="J28" s="26" t="s">
        <v>1017</v>
      </c>
      <c r="K28" s="26" t="s">
        <v>1018</v>
      </c>
      <c r="L28" s="26" t="s">
        <v>1019</v>
      </c>
      <c r="M28" s="26" t="s">
        <v>779</v>
      </c>
      <c r="N28" s="26" t="s">
        <v>100</v>
      </c>
      <c r="O28" s="26" t="s">
        <v>134</v>
      </c>
      <c r="P28" s="26" t="s">
        <v>1024</v>
      </c>
      <c r="Q28" s="26" t="s">
        <v>1025</v>
      </c>
      <c r="R28" s="26" t="s">
        <v>1027</v>
      </c>
      <c r="S28" s="26" t="s">
        <v>144</v>
      </c>
      <c r="T28" s="26" t="s">
        <v>158</v>
      </c>
      <c r="U28" s="26" t="s">
        <v>401</v>
      </c>
      <c r="V28" s="26" t="s">
        <v>1029</v>
      </c>
      <c r="W28" s="30"/>
      <c r="X28" s="30"/>
      <c r="Y28" s="30"/>
      <c r="Z28" s="30"/>
      <c r="AA28" s="30"/>
      <c r="AB28" s="30"/>
      <c r="AC28" s="30"/>
      <c r="AD28" s="30"/>
      <c r="AE28" s="28" t="str">
        <f t="shared" si="1"/>
        <v/>
      </c>
      <c r="AF28" s="31"/>
      <c r="AG28" s="31"/>
      <c r="AH28" s="29" t="str">
        <f t="shared" si="2"/>
        <v>Not Started</v>
      </c>
    </row>
    <row r="29" ht="336.0" customHeight="1">
      <c r="A29" s="32">
        <v>331.0</v>
      </c>
      <c r="B29" s="33" t="str">
        <f>HYPERLINK("https://github.com/pytorch-fdn/ambassador-program/issues/331","https://github.com/pytorch-fdn/ambassador-program/issues/331")</f>
        <v>https://github.com/pytorch-fdn/ambassador-program/issues/331</v>
      </c>
      <c r="C29" s="32" t="s">
        <v>1466</v>
      </c>
      <c r="D29" s="32" t="s">
        <v>1469</v>
      </c>
      <c r="E29" s="32" t="s">
        <v>1404</v>
      </c>
      <c r="F29" s="32" t="s">
        <v>175</v>
      </c>
      <c r="G29" s="32" t="s">
        <v>1472</v>
      </c>
      <c r="H29" s="32" t="s">
        <v>98</v>
      </c>
      <c r="I29" s="32" t="s">
        <v>100</v>
      </c>
      <c r="J29" s="32" t="s">
        <v>1474</v>
      </c>
      <c r="K29" s="32" t="s">
        <v>1475</v>
      </c>
      <c r="L29" s="32" t="s">
        <v>1476</v>
      </c>
      <c r="M29" s="32" t="s">
        <v>108</v>
      </c>
      <c r="N29" s="32" t="s">
        <v>100</v>
      </c>
      <c r="O29" s="32" t="s">
        <v>1477</v>
      </c>
      <c r="P29" s="32" t="s">
        <v>1478</v>
      </c>
      <c r="Q29" s="32" t="s">
        <v>1479</v>
      </c>
      <c r="R29" s="32" t="s">
        <v>1480</v>
      </c>
      <c r="S29" s="32" t="s">
        <v>1481</v>
      </c>
      <c r="T29" s="32" t="s">
        <v>115</v>
      </c>
      <c r="U29" s="32" t="s">
        <v>145</v>
      </c>
      <c r="V29" s="32" t="s">
        <v>118</v>
      </c>
      <c r="W29" s="30"/>
      <c r="X29" s="30"/>
      <c r="Y29" s="30"/>
      <c r="Z29" s="30"/>
      <c r="AA29" s="30"/>
      <c r="AB29" s="30"/>
      <c r="AC29" s="30"/>
      <c r="AD29" s="30"/>
      <c r="AE29" s="34" t="str">
        <f t="shared" si="1"/>
        <v/>
      </c>
      <c r="AF29" s="31"/>
      <c r="AG29" s="31"/>
      <c r="AH29" s="35" t="str">
        <f t="shared" si="2"/>
        <v>Not Started</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H29">
    <cfRule type="containsText" dxfId="4" priority="1" operator="containsText" text="Complete">
      <formula>NOT(ISERROR(SEARCH(("Complete"),(AH5))))</formula>
    </cfRule>
  </conditionalFormatting>
  <conditionalFormatting sqref="AH5:AH29">
    <cfRule type="containsText" dxfId="5" priority="2" operator="containsText" text="In Progress">
      <formula>NOT(ISERROR(SEARCH(("In Progress"),(AH5))))</formula>
    </cfRule>
  </conditionalFormatting>
  <conditionalFormatting sqref="AH5:AH29">
    <cfRule type="containsText" dxfId="6" priority="3" operator="containsText" text="Reassignment">
      <formula>NOT(ISERROR(SEARCH(("Reassignment"),(AH5))))</formula>
    </cfRule>
  </conditionalFormatting>
  <dataValidations>
    <dataValidation type="list" allowBlank="1" sqref="W5:AD29">
      <formula1>"1,2,3,4,5"</formula1>
    </dataValidation>
    <dataValidation type="list" allowBlank="1" sqref="AF5:AF29">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32.0"/>
    <col customWidth="1" min="3" max="3" width="18.0"/>
    <col customWidth="1" min="4" max="4" width="28.0"/>
    <col customWidth="1" min="5" max="5" width="22.0"/>
    <col customWidth="1" min="6" max="6" width="18.0"/>
    <col customWidth="1" min="7" max="10" width="26.0"/>
    <col customWidth="1" min="11" max="11" width="22.0"/>
    <col customWidth="1" min="12" max="12" width="26.0"/>
    <col customWidth="1" min="13" max="13" width="32.0"/>
    <col customWidth="1" min="14" max="14" width="26.0"/>
    <col customWidth="1" min="15" max="15" width="34.0"/>
    <col customWidth="1" min="16" max="16" width="110.0"/>
    <col customWidth="1" min="17" max="17" width="90.0"/>
    <col customWidth="1" min="18" max="18" width="110.0"/>
    <col customWidth="1" min="19" max="19" width="36.0"/>
    <col customWidth="1" min="20" max="21" width="22.0"/>
    <col customWidth="1" min="22" max="22" width="80.0"/>
    <col customWidth="1" min="23" max="30" width="25.0"/>
    <col customWidth="1" min="31" max="31" width="14.0"/>
    <col customWidth="1" min="32" max="32" width="26.0"/>
    <col customWidth="1" min="33" max="33" width="48.0"/>
    <col customWidth="1" min="34" max="35" width="22.0"/>
  </cols>
  <sheetData>
    <row r="1" ht="33.75" customHeight="1">
      <c r="A1" s="1" t="s">
        <v>1641</v>
      </c>
      <c r="AI1" s="1"/>
    </row>
    <row r="2" ht="27.75" customHeight="1">
      <c r="A2" s="2" t="s">
        <v>1644</v>
      </c>
      <c r="AI2" s="2" t="str">
        <f>IFERROR(__xludf.DUMMYFUNCTION("AI("""")"),"Please provide a specific question or instruction regarding the spreadsheet data so I can assist you.")</f>
        <v>Please provide a specific question or instruction regarding the spreadsheet data so I can assist you.</v>
      </c>
    </row>
    <row r="3">
      <c r="A3" s="14" t="s">
        <v>53</v>
      </c>
      <c r="W3" s="15" t="s">
        <v>54</v>
      </c>
      <c r="AI3" s="15"/>
    </row>
    <row r="4" ht="96.75" customHeight="1">
      <c r="A4" s="16" t="s">
        <v>55</v>
      </c>
      <c r="B4" s="16" t="s">
        <v>56</v>
      </c>
      <c r="C4" s="16" t="s">
        <v>57</v>
      </c>
      <c r="D4" s="16" t="s">
        <v>58</v>
      </c>
      <c r="E4" s="16" t="s">
        <v>59</v>
      </c>
      <c r="F4" s="16" t="s">
        <v>60</v>
      </c>
      <c r="G4" s="16" t="s">
        <v>61</v>
      </c>
      <c r="H4" s="16" t="s">
        <v>62</v>
      </c>
      <c r="I4" s="16" t="s">
        <v>63</v>
      </c>
      <c r="J4" s="16" t="s">
        <v>64</v>
      </c>
      <c r="K4" s="16" t="s">
        <v>65</v>
      </c>
      <c r="L4" s="16" t="s">
        <v>66</v>
      </c>
      <c r="M4" s="16" t="s">
        <v>67</v>
      </c>
      <c r="N4" s="16" t="s">
        <v>68</v>
      </c>
      <c r="O4" s="16" t="s">
        <v>69</v>
      </c>
      <c r="P4" s="16" t="s">
        <v>70</v>
      </c>
      <c r="Q4" s="16" t="s">
        <v>71</v>
      </c>
      <c r="R4" s="16" t="s">
        <v>72</v>
      </c>
      <c r="S4" s="16" t="s">
        <v>73</v>
      </c>
      <c r="T4" s="16" t="s">
        <v>74</v>
      </c>
      <c r="U4" s="16" t="s">
        <v>75</v>
      </c>
      <c r="V4" s="16" t="s">
        <v>76</v>
      </c>
      <c r="W4" s="16" t="s">
        <v>77</v>
      </c>
      <c r="X4" s="16" t="s">
        <v>78</v>
      </c>
      <c r="Y4" s="16" t="s">
        <v>79</v>
      </c>
      <c r="Z4" s="16" t="s">
        <v>80</v>
      </c>
      <c r="AA4" s="16" t="s">
        <v>81</v>
      </c>
      <c r="AB4" s="16" t="s">
        <v>82</v>
      </c>
      <c r="AC4" s="16" t="s">
        <v>83</v>
      </c>
      <c r="AD4" s="16" t="s">
        <v>85</v>
      </c>
      <c r="AE4" s="19" t="s">
        <v>86</v>
      </c>
      <c r="AF4" s="16" t="s">
        <v>87</v>
      </c>
      <c r="AG4" s="16" t="s">
        <v>88</v>
      </c>
      <c r="AH4" s="19" t="s">
        <v>89</v>
      </c>
      <c r="AI4" s="42"/>
    </row>
    <row r="5" ht="408.75" customHeight="1">
      <c r="A5" s="20">
        <v>480.0</v>
      </c>
      <c r="B5" s="21" t="str">
        <f>HYPERLINK("https://github.com/pytorch-fdn/ambassador-program/issues/480","https://github.com/pytorch-fdn/ambassador-program/issues/480")</f>
        <v>https://github.com/pytorch-fdn/ambassador-program/issues/480</v>
      </c>
      <c r="C5" s="20" t="s">
        <v>1116</v>
      </c>
      <c r="D5" s="20" t="s">
        <v>1117</v>
      </c>
      <c r="E5" s="20" t="s">
        <v>1118</v>
      </c>
      <c r="F5" s="20" t="s">
        <v>261</v>
      </c>
      <c r="G5" s="20" t="s">
        <v>1119</v>
      </c>
      <c r="H5" s="20" t="s">
        <v>103</v>
      </c>
      <c r="I5" s="20" t="s">
        <v>100</v>
      </c>
      <c r="J5" s="20" t="s">
        <v>1120</v>
      </c>
      <c r="K5" s="20" t="s">
        <v>1121</v>
      </c>
      <c r="L5" s="20" t="s">
        <v>100</v>
      </c>
      <c r="M5" s="20" t="s">
        <v>779</v>
      </c>
      <c r="N5" s="20" t="s">
        <v>100</v>
      </c>
      <c r="O5" s="20" t="s">
        <v>1122</v>
      </c>
      <c r="P5" s="20" t="s">
        <v>1123</v>
      </c>
      <c r="Q5" s="20" t="s">
        <v>1124</v>
      </c>
      <c r="R5" s="20" t="s">
        <v>1125</v>
      </c>
      <c r="S5" s="20" t="s">
        <v>1126</v>
      </c>
      <c r="T5" s="20" t="s">
        <v>198</v>
      </c>
      <c r="U5" s="20" t="s">
        <v>1118</v>
      </c>
      <c r="V5" s="20" t="s">
        <v>118</v>
      </c>
      <c r="W5" s="22">
        <v>3.0</v>
      </c>
      <c r="X5" s="22">
        <v>5.0</v>
      </c>
      <c r="Y5" s="22">
        <v>4.0</v>
      </c>
      <c r="Z5" s="22">
        <v>3.0</v>
      </c>
      <c r="AA5" s="22">
        <v>3.0</v>
      </c>
      <c r="AB5" s="22">
        <v>4.0</v>
      </c>
      <c r="AC5" s="22">
        <v>4.0</v>
      </c>
      <c r="AD5" s="22">
        <v>4.0</v>
      </c>
      <c r="AE5" s="23">
        <f t="shared" ref="AE5:AE28" si="1">IF(COUNT(W5:AD5)=8,SUM(W5:AD5),"")</f>
        <v>30</v>
      </c>
      <c r="AF5" s="24" t="s">
        <v>164</v>
      </c>
      <c r="AG5" s="24" t="s">
        <v>1657</v>
      </c>
      <c r="AH5" s="25" t="str">
        <f t="shared" ref="AH5:AH28" si="2">IF(AND(COUNT(W5:AD5)=0,AF5="",AG5=""),"Not Started",IF(AF5="Abstain (Conflict of Interest)",IF(AG5&lt;&gt;"","Reassignment Required","Add Conflict Note"),IF(AND(COUNT(W5:AD5)=8,AF5&lt;&gt;"",AG5&lt;&gt;""),"Complete","In Progress")))</f>
        <v>Complete</v>
      </c>
      <c r="AI5" s="43"/>
    </row>
    <row r="6" ht="276.0" customHeight="1">
      <c r="A6" s="26">
        <v>474.0</v>
      </c>
      <c r="B6" s="27" t="str">
        <f>HYPERLINK("https://github.com/pytorch-fdn/ambassador-program/issues/474","https://github.com/pytorch-fdn/ambassador-program/issues/474")</f>
        <v>https://github.com/pytorch-fdn/ambassador-program/issues/474</v>
      </c>
      <c r="C6" s="26" t="s">
        <v>1151</v>
      </c>
      <c r="D6" s="26" t="s">
        <v>1152</v>
      </c>
      <c r="E6" s="26" t="s">
        <v>96</v>
      </c>
      <c r="F6" s="26" t="s">
        <v>95</v>
      </c>
      <c r="G6" s="26" t="s">
        <v>1153</v>
      </c>
      <c r="H6" s="26" t="s">
        <v>103</v>
      </c>
      <c r="I6" s="26" t="s">
        <v>100</v>
      </c>
      <c r="J6" s="26" t="s">
        <v>1154</v>
      </c>
      <c r="K6" s="26" t="s">
        <v>100</v>
      </c>
      <c r="L6" s="26" t="s">
        <v>100</v>
      </c>
      <c r="M6" s="26" t="s">
        <v>108</v>
      </c>
      <c r="N6" s="26" t="s">
        <v>100</v>
      </c>
      <c r="O6" s="26" t="s">
        <v>571</v>
      </c>
      <c r="P6" s="26" t="s">
        <v>1155</v>
      </c>
      <c r="Q6" s="26" t="s">
        <v>1156</v>
      </c>
      <c r="R6" s="26" t="s">
        <v>1157</v>
      </c>
      <c r="S6" s="26" t="s">
        <v>399</v>
      </c>
      <c r="T6" s="26" t="s">
        <v>115</v>
      </c>
      <c r="U6" s="26" t="s">
        <v>117</v>
      </c>
      <c r="V6" s="26" t="s">
        <v>1158</v>
      </c>
      <c r="W6" s="22">
        <v>4.0</v>
      </c>
      <c r="X6" s="22">
        <v>4.0</v>
      </c>
      <c r="Y6" s="22">
        <v>3.0</v>
      </c>
      <c r="Z6" s="22">
        <v>4.0</v>
      </c>
      <c r="AA6" s="22">
        <v>4.0</v>
      </c>
      <c r="AB6" s="22">
        <v>3.0</v>
      </c>
      <c r="AC6" s="22">
        <v>3.0</v>
      </c>
      <c r="AD6" s="22">
        <v>4.0</v>
      </c>
      <c r="AE6" s="28">
        <f t="shared" si="1"/>
        <v>29</v>
      </c>
      <c r="AF6" s="24" t="s">
        <v>164</v>
      </c>
      <c r="AG6" s="24" t="s">
        <v>1679</v>
      </c>
      <c r="AH6" s="29" t="str">
        <f t="shared" si="2"/>
        <v>Complete</v>
      </c>
      <c r="AI6" s="43"/>
    </row>
    <row r="7" ht="360.0" customHeight="1">
      <c r="A7" s="26">
        <v>464.0</v>
      </c>
      <c r="B7" s="27" t="str">
        <f>HYPERLINK("https://github.com/pytorch-fdn/ambassador-program/issues/464","https://github.com/pytorch-fdn/ambassador-program/issues/464")</f>
        <v>https://github.com/pytorch-fdn/ambassador-program/issues/464</v>
      </c>
      <c r="C7" s="26" t="s">
        <v>1658</v>
      </c>
      <c r="D7" s="26" t="s">
        <v>1659</v>
      </c>
      <c r="E7" s="26" t="s">
        <v>1660</v>
      </c>
      <c r="F7" s="26" t="s">
        <v>261</v>
      </c>
      <c r="G7" s="26" t="s">
        <v>1661</v>
      </c>
      <c r="H7" s="26" t="s">
        <v>103</v>
      </c>
      <c r="I7" s="26" t="s">
        <v>100</v>
      </c>
      <c r="J7" s="26" t="s">
        <v>1662</v>
      </c>
      <c r="K7" s="26" t="s">
        <v>1663</v>
      </c>
      <c r="L7" s="26" t="s">
        <v>100</v>
      </c>
      <c r="M7" s="26" t="s">
        <v>1664</v>
      </c>
      <c r="N7" s="26" t="s">
        <v>100</v>
      </c>
      <c r="O7" s="26" t="s">
        <v>1264</v>
      </c>
      <c r="P7" s="26" t="s">
        <v>1666</v>
      </c>
      <c r="Q7" s="26" t="s">
        <v>1667</v>
      </c>
      <c r="R7" s="26" t="s">
        <v>1668</v>
      </c>
      <c r="S7" s="26" t="s">
        <v>1669</v>
      </c>
      <c r="T7" s="26" t="s">
        <v>158</v>
      </c>
      <c r="U7" s="26" t="s">
        <v>160</v>
      </c>
      <c r="V7" s="26" t="s">
        <v>1674</v>
      </c>
      <c r="W7" s="22">
        <v>5.0</v>
      </c>
      <c r="X7" s="22">
        <v>5.0</v>
      </c>
      <c r="Y7" s="22">
        <v>3.0</v>
      </c>
      <c r="Z7" s="22">
        <v>3.0</v>
      </c>
      <c r="AA7" s="22">
        <v>4.0</v>
      </c>
      <c r="AB7" s="22">
        <v>4.0</v>
      </c>
      <c r="AC7" s="22">
        <v>4.0</v>
      </c>
      <c r="AD7" s="22">
        <v>4.0</v>
      </c>
      <c r="AE7" s="28">
        <f t="shared" si="1"/>
        <v>32</v>
      </c>
      <c r="AF7" s="24" t="s">
        <v>164</v>
      </c>
      <c r="AG7" s="24" t="s">
        <v>1681</v>
      </c>
      <c r="AH7" s="29" t="str">
        <f t="shared" si="2"/>
        <v>Complete</v>
      </c>
      <c r="AI7" s="43"/>
    </row>
    <row r="8" ht="156.0" customHeight="1">
      <c r="A8" s="26">
        <v>452.0</v>
      </c>
      <c r="B8" s="27" t="str">
        <f>HYPERLINK("https://github.com/pytorch-fdn/ambassador-program/issues/452","https://github.com/pytorch-fdn/ambassador-program/issues/452")</f>
        <v>https://github.com/pytorch-fdn/ambassador-program/issues/452</v>
      </c>
      <c r="C8" s="26" t="s">
        <v>1284</v>
      </c>
      <c r="D8" s="26" t="s">
        <v>1287</v>
      </c>
      <c r="E8" s="26" t="s">
        <v>1288</v>
      </c>
      <c r="F8" s="26" t="s">
        <v>175</v>
      </c>
      <c r="G8" s="26" t="s">
        <v>1289</v>
      </c>
      <c r="H8" s="26" t="s">
        <v>103</v>
      </c>
      <c r="I8" s="26" t="s">
        <v>1290</v>
      </c>
      <c r="J8" s="26" t="s">
        <v>1291</v>
      </c>
      <c r="K8" s="26" t="s">
        <v>1292</v>
      </c>
      <c r="L8" s="26" t="s">
        <v>100</v>
      </c>
      <c r="M8" s="26" t="s">
        <v>334</v>
      </c>
      <c r="N8" s="26" t="s">
        <v>1294</v>
      </c>
      <c r="O8" s="26" t="s">
        <v>1296</v>
      </c>
      <c r="P8" s="26" t="s">
        <v>1299</v>
      </c>
      <c r="Q8" s="26" t="s">
        <v>1300</v>
      </c>
      <c r="R8" s="26" t="s">
        <v>1302</v>
      </c>
      <c r="S8" s="26" t="s">
        <v>1304</v>
      </c>
      <c r="T8" s="26" t="s">
        <v>115</v>
      </c>
      <c r="U8" s="26" t="s">
        <v>145</v>
      </c>
      <c r="V8" s="26" t="s">
        <v>1306</v>
      </c>
      <c r="W8" s="22">
        <v>4.0</v>
      </c>
      <c r="X8" s="22">
        <v>4.0</v>
      </c>
      <c r="Y8" s="22">
        <v>3.0</v>
      </c>
      <c r="Z8" s="22">
        <v>4.0</v>
      </c>
      <c r="AA8" s="22">
        <v>3.0</v>
      </c>
      <c r="AB8" s="22">
        <v>3.0</v>
      </c>
      <c r="AC8" s="22">
        <v>4.0</v>
      </c>
      <c r="AD8" s="22">
        <v>3.0</v>
      </c>
      <c r="AE8" s="28">
        <f t="shared" si="1"/>
        <v>28</v>
      </c>
      <c r="AF8" s="24" t="s">
        <v>303</v>
      </c>
      <c r="AG8" s="24" t="s">
        <v>1683</v>
      </c>
      <c r="AH8" s="29" t="str">
        <f t="shared" si="2"/>
        <v>Complete</v>
      </c>
      <c r="AI8" s="43"/>
    </row>
    <row r="9" ht="132.0" customHeight="1">
      <c r="A9" s="26">
        <v>450.0</v>
      </c>
      <c r="B9" s="27" t="str">
        <f>HYPERLINK("https://github.com/pytorch-fdn/ambassador-program/issues/450","https://github.com/pytorch-fdn/ambassador-program/issues/450")</f>
        <v>https://github.com/pytorch-fdn/ambassador-program/issues/450</v>
      </c>
      <c r="C9" s="26" t="s">
        <v>365</v>
      </c>
      <c r="D9" s="26" t="s">
        <v>367</v>
      </c>
      <c r="E9" s="26" t="s">
        <v>369</v>
      </c>
      <c r="F9" s="26" t="s">
        <v>261</v>
      </c>
      <c r="G9" s="26" t="s">
        <v>374</v>
      </c>
      <c r="H9" s="26" t="s">
        <v>103</v>
      </c>
      <c r="I9" s="26" t="s">
        <v>100</v>
      </c>
      <c r="J9" s="26" t="s">
        <v>381</v>
      </c>
      <c r="K9" s="26" t="s">
        <v>100</v>
      </c>
      <c r="L9" s="26" t="s">
        <v>100</v>
      </c>
      <c r="M9" s="26" t="s">
        <v>108</v>
      </c>
      <c r="N9" s="26" t="s">
        <v>100</v>
      </c>
      <c r="O9" s="26" t="s">
        <v>392</v>
      </c>
      <c r="P9" s="26" t="s">
        <v>394</v>
      </c>
      <c r="Q9" s="26" t="s">
        <v>396</v>
      </c>
      <c r="R9" s="26" t="s">
        <v>397</v>
      </c>
      <c r="S9" s="26" t="s">
        <v>399</v>
      </c>
      <c r="T9" s="26" t="s">
        <v>158</v>
      </c>
      <c r="U9" s="26" t="s">
        <v>401</v>
      </c>
      <c r="V9" s="26" t="s">
        <v>118</v>
      </c>
      <c r="W9" s="22">
        <v>2.0</v>
      </c>
      <c r="X9" s="22">
        <v>3.0</v>
      </c>
      <c r="Y9" s="22">
        <v>1.0</v>
      </c>
      <c r="Z9" s="22">
        <v>2.0</v>
      </c>
      <c r="AA9" s="22">
        <v>2.0</v>
      </c>
      <c r="AB9" s="22">
        <v>3.0</v>
      </c>
      <c r="AC9" s="22">
        <v>3.0</v>
      </c>
      <c r="AD9" s="22">
        <v>3.0</v>
      </c>
      <c r="AE9" s="28">
        <f t="shared" si="1"/>
        <v>19</v>
      </c>
      <c r="AF9" s="24" t="s">
        <v>124</v>
      </c>
      <c r="AG9" s="24" t="s">
        <v>1684</v>
      </c>
      <c r="AH9" s="29" t="str">
        <f t="shared" si="2"/>
        <v>Complete</v>
      </c>
      <c r="AI9" s="43"/>
    </row>
    <row r="10" ht="408.75" customHeight="1">
      <c r="A10" s="26">
        <v>443.0</v>
      </c>
      <c r="B10" s="27" t="str">
        <f>HYPERLINK("https://github.com/pytorch-fdn/ambassador-program/issues/443","https://github.com/pytorch-fdn/ambassador-program/issues/443")</f>
        <v>https://github.com/pytorch-fdn/ambassador-program/issues/443</v>
      </c>
      <c r="C10" s="26" t="s">
        <v>403</v>
      </c>
      <c r="D10" s="26" t="s">
        <v>404</v>
      </c>
      <c r="E10" s="26" t="s">
        <v>405</v>
      </c>
      <c r="F10" s="26" t="s">
        <v>261</v>
      </c>
      <c r="G10" s="26" t="s">
        <v>407</v>
      </c>
      <c r="H10" s="26" t="s">
        <v>103</v>
      </c>
      <c r="I10" s="26" t="s">
        <v>100</v>
      </c>
      <c r="J10" s="26" t="s">
        <v>408</v>
      </c>
      <c r="K10" s="26" t="s">
        <v>100</v>
      </c>
      <c r="L10" s="26" t="s">
        <v>100</v>
      </c>
      <c r="M10" s="26" t="s">
        <v>106</v>
      </c>
      <c r="N10" s="26" t="s">
        <v>100</v>
      </c>
      <c r="O10" s="26" t="s">
        <v>409</v>
      </c>
      <c r="P10" s="26" t="s">
        <v>410</v>
      </c>
      <c r="Q10" s="26" t="s">
        <v>412</v>
      </c>
      <c r="R10" s="26" t="s">
        <v>413</v>
      </c>
      <c r="S10" s="26" t="s">
        <v>414</v>
      </c>
      <c r="T10" s="26" t="s">
        <v>115</v>
      </c>
      <c r="U10" s="26" t="s">
        <v>117</v>
      </c>
      <c r="V10" s="26" t="s">
        <v>415</v>
      </c>
      <c r="W10" s="22">
        <v>2.0</v>
      </c>
      <c r="X10" s="22">
        <v>1.0</v>
      </c>
      <c r="Y10" s="22">
        <v>2.0</v>
      </c>
      <c r="Z10" s="22">
        <v>2.0</v>
      </c>
      <c r="AA10" s="22">
        <v>1.0</v>
      </c>
      <c r="AB10" s="22">
        <v>1.0</v>
      </c>
      <c r="AC10" s="22">
        <v>1.0</v>
      </c>
      <c r="AD10" s="22">
        <v>1.0</v>
      </c>
      <c r="AE10" s="28">
        <f t="shared" si="1"/>
        <v>11</v>
      </c>
      <c r="AF10" s="24" t="s">
        <v>124</v>
      </c>
      <c r="AG10" s="24" t="s">
        <v>1686</v>
      </c>
      <c r="AH10" s="29" t="str">
        <f t="shared" si="2"/>
        <v>Complete</v>
      </c>
      <c r="AI10" s="43"/>
    </row>
    <row r="11" ht="126.0" customHeight="1">
      <c r="A11" s="26">
        <v>436.0</v>
      </c>
      <c r="B11" s="27" t="str">
        <f>HYPERLINK("https://github.com/pytorch-fdn/ambassador-program/issues/436","https://github.com/pytorch-fdn/ambassador-program/issues/436")</f>
        <v>https://github.com/pytorch-fdn/ambassador-program/issues/436</v>
      </c>
      <c r="C11" s="26" t="s">
        <v>416</v>
      </c>
      <c r="D11" s="26" t="s">
        <v>418</v>
      </c>
      <c r="E11" s="26" t="s">
        <v>420</v>
      </c>
      <c r="F11" s="26" t="s">
        <v>261</v>
      </c>
      <c r="G11" s="26" t="s">
        <v>422</v>
      </c>
      <c r="H11" s="26" t="s">
        <v>103</v>
      </c>
      <c r="I11" s="26" t="s">
        <v>100</v>
      </c>
      <c r="J11" s="26" t="s">
        <v>425</v>
      </c>
      <c r="K11" s="26" t="s">
        <v>100</v>
      </c>
      <c r="L11" s="26" t="s">
        <v>100</v>
      </c>
      <c r="M11" s="26" t="s">
        <v>106</v>
      </c>
      <c r="N11" s="26" t="s">
        <v>100</v>
      </c>
      <c r="O11" s="26" t="s">
        <v>377</v>
      </c>
      <c r="P11" s="26" t="s">
        <v>430</v>
      </c>
      <c r="Q11" s="26" t="s">
        <v>432</v>
      </c>
      <c r="R11" s="26" t="s">
        <v>440</v>
      </c>
      <c r="S11" s="26" t="s">
        <v>442</v>
      </c>
      <c r="T11" s="26" t="s">
        <v>115</v>
      </c>
      <c r="U11" s="26" t="s">
        <v>420</v>
      </c>
      <c r="V11" s="26" t="s">
        <v>118</v>
      </c>
      <c r="W11" s="22">
        <v>2.0</v>
      </c>
      <c r="X11" s="22">
        <v>2.0</v>
      </c>
      <c r="Y11" s="22">
        <v>1.0</v>
      </c>
      <c r="Z11" s="22">
        <v>2.0</v>
      </c>
      <c r="AA11" s="22">
        <v>2.0</v>
      </c>
      <c r="AB11" s="22">
        <v>2.0</v>
      </c>
      <c r="AC11" s="22">
        <v>2.0</v>
      </c>
      <c r="AD11" s="22">
        <v>2.0</v>
      </c>
      <c r="AE11" s="28">
        <f t="shared" si="1"/>
        <v>15</v>
      </c>
      <c r="AF11" s="24" t="s">
        <v>303</v>
      </c>
      <c r="AG11" s="24" t="s">
        <v>1688</v>
      </c>
      <c r="AH11" s="29" t="str">
        <f t="shared" si="2"/>
        <v>Complete</v>
      </c>
      <c r="AI11" s="43"/>
    </row>
    <row r="12" ht="408.75" customHeight="1">
      <c r="A12" s="26">
        <v>435.0</v>
      </c>
      <c r="B12" s="27" t="str">
        <f>HYPERLINK("https://github.com/pytorch-fdn/ambassador-program/issues/435","https://github.com/pytorch-fdn/ambassador-program/issues/435")</f>
        <v>https://github.com/pytorch-fdn/ambassador-program/issues/435</v>
      </c>
      <c r="C12" s="26" t="s">
        <v>472</v>
      </c>
      <c r="D12" s="26" t="s">
        <v>473</v>
      </c>
      <c r="E12" s="26" t="s">
        <v>475</v>
      </c>
      <c r="F12" s="26" t="s">
        <v>95</v>
      </c>
      <c r="G12" s="26" t="s">
        <v>478</v>
      </c>
      <c r="H12" s="26" t="s">
        <v>103</v>
      </c>
      <c r="I12" s="26" t="s">
        <v>480</v>
      </c>
      <c r="J12" s="26" t="s">
        <v>482</v>
      </c>
      <c r="K12" s="26" t="s">
        <v>100</v>
      </c>
      <c r="L12" s="26" t="s">
        <v>100</v>
      </c>
      <c r="M12" s="26" t="s">
        <v>485</v>
      </c>
      <c r="N12" s="26" t="s">
        <v>100</v>
      </c>
      <c r="O12" s="26" t="s">
        <v>488</v>
      </c>
      <c r="P12" s="26" t="s">
        <v>489</v>
      </c>
      <c r="Q12" s="26" t="s">
        <v>490</v>
      </c>
      <c r="R12" s="26" t="s">
        <v>491</v>
      </c>
      <c r="S12" s="26" t="s">
        <v>144</v>
      </c>
      <c r="T12" s="26" t="s">
        <v>115</v>
      </c>
      <c r="U12" s="26" t="s">
        <v>145</v>
      </c>
      <c r="V12" s="26" t="s">
        <v>118</v>
      </c>
      <c r="W12" s="22">
        <v>4.0</v>
      </c>
      <c r="X12" s="22">
        <v>4.0</v>
      </c>
      <c r="Y12" s="22">
        <v>4.0</v>
      </c>
      <c r="Z12" s="22">
        <v>5.0</v>
      </c>
      <c r="AA12" s="22">
        <v>4.0</v>
      </c>
      <c r="AB12" s="22">
        <v>4.0</v>
      </c>
      <c r="AC12" s="22">
        <v>3.0</v>
      </c>
      <c r="AD12" s="22">
        <v>4.0</v>
      </c>
      <c r="AE12" s="28">
        <f t="shared" si="1"/>
        <v>32</v>
      </c>
      <c r="AF12" s="24" t="s">
        <v>164</v>
      </c>
      <c r="AG12" s="24" t="s">
        <v>1689</v>
      </c>
      <c r="AH12" s="29" t="str">
        <f t="shared" si="2"/>
        <v>Complete</v>
      </c>
      <c r="AI12" s="43"/>
    </row>
    <row r="13" ht="396.0" customHeight="1">
      <c r="A13" s="26">
        <v>426.0</v>
      </c>
      <c r="B13" s="27" t="str">
        <f>HYPERLINK("https://github.com/pytorch-fdn/ambassador-program/issues/426","https://github.com/pytorch-fdn/ambassador-program/issues/426")</f>
        <v>https://github.com/pytorch-fdn/ambassador-program/issues/426</v>
      </c>
      <c r="C13" s="26" t="s">
        <v>1690</v>
      </c>
      <c r="D13" s="26" t="s">
        <v>1691</v>
      </c>
      <c r="E13" s="26" t="s">
        <v>1692</v>
      </c>
      <c r="F13" s="26" t="s">
        <v>95</v>
      </c>
      <c r="G13" s="26" t="s">
        <v>100</v>
      </c>
      <c r="H13" s="26" t="s">
        <v>103</v>
      </c>
      <c r="I13" s="26" t="s">
        <v>100</v>
      </c>
      <c r="J13" s="26" t="s">
        <v>1693</v>
      </c>
      <c r="K13" s="26" t="s">
        <v>100</v>
      </c>
      <c r="L13" s="26" t="s">
        <v>100</v>
      </c>
      <c r="M13" s="26" t="s">
        <v>273</v>
      </c>
      <c r="N13" s="26" t="s">
        <v>100</v>
      </c>
      <c r="O13" s="26" t="s">
        <v>956</v>
      </c>
      <c r="P13" s="26" t="s">
        <v>1694</v>
      </c>
      <c r="Q13" s="26" t="s">
        <v>1695</v>
      </c>
      <c r="R13" s="26" t="s">
        <v>1696</v>
      </c>
      <c r="S13" s="26" t="s">
        <v>1697</v>
      </c>
      <c r="T13" s="26" t="s">
        <v>121</v>
      </c>
      <c r="U13" s="26" t="s">
        <v>255</v>
      </c>
      <c r="V13" s="26" t="s">
        <v>118</v>
      </c>
      <c r="W13" s="22">
        <v>3.0</v>
      </c>
      <c r="X13" s="22">
        <v>2.0</v>
      </c>
      <c r="Y13" s="22">
        <v>3.0</v>
      </c>
      <c r="Z13" s="22">
        <v>3.0</v>
      </c>
      <c r="AA13" s="22">
        <v>2.0</v>
      </c>
      <c r="AB13" s="22">
        <v>3.0</v>
      </c>
      <c r="AC13" s="22">
        <v>3.0</v>
      </c>
      <c r="AD13" s="22">
        <v>2.0</v>
      </c>
      <c r="AE13" s="28">
        <f t="shared" si="1"/>
        <v>21</v>
      </c>
      <c r="AF13" s="24" t="s">
        <v>303</v>
      </c>
      <c r="AG13" s="24" t="s">
        <v>1688</v>
      </c>
      <c r="AH13" s="29" t="str">
        <f t="shared" si="2"/>
        <v>Complete</v>
      </c>
      <c r="AI13" s="43"/>
    </row>
    <row r="14" ht="408.75" customHeight="1">
      <c r="A14" s="26">
        <v>392.0</v>
      </c>
      <c r="B14" s="27" t="str">
        <f>HYPERLINK("https://github.com/pytorch-fdn/ambassador-program/issues/392","https://github.com/pytorch-fdn/ambassador-program/issues/392")</f>
        <v>https://github.com/pytorch-fdn/ambassador-program/issues/392</v>
      </c>
      <c r="C14" s="26" t="s">
        <v>1230</v>
      </c>
      <c r="D14" s="26" t="s">
        <v>1232</v>
      </c>
      <c r="E14" s="26" t="s">
        <v>1233</v>
      </c>
      <c r="F14" s="26" t="s">
        <v>261</v>
      </c>
      <c r="G14" s="26" t="s">
        <v>1234</v>
      </c>
      <c r="H14" s="26" t="s">
        <v>98</v>
      </c>
      <c r="I14" s="26" t="s">
        <v>100</v>
      </c>
      <c r="J14" s="26" t="s">
        <v>1235</v>
      </c>
      <c r="K14" s="26" t="s">
        <v>1236</v>
      </c>
      <c r="L14" s="26" t="s">
        <v>100</v>
      </c>
      <c r="M14" s="26" t="s">
        <v>500</v>
      </c>
      <c r="N14" s="26" t="s">
        <v>100</v>
      </c>
      <c r="O14" s="26" t="s">
        <v>279</v>
      </c>
      <c r="P14" s="26" t="s">
        <v>1237</v>
      </c>
      <c r="Q14" s="26" t="s">
        <v>1238</v>
      </c>
      <c r="R14" s="26" t="s">
        <v>1239</v>
      </c>
      <c r="S14" s="26" t="s">
        <v>144</v>
      </c>
      <c r="T14" s="26" t="s">
        <v>158</v>
      </c>
      <c r="U14" s="26" t="s">
        <v>1240</v>
      </c>
      <c r="V14" s="26" t="s">
        <v>1241</v>
      </c>
      <c r="W14" s="22">
        <v>4.0</v>
      </c>
      <c r="X14" s="22">
        <v>4.0</v>
      </c>
      <c r="Y14" s="22">
        <v>3.0</v>
      </c>
      <c r="Z14" s="22">
        <v>5.0</v>
      </c>
      <c r="AA14" s="22">
        <v>3.0</v>
      </c>
      <c r="AB14" s="22">
        <v>3.0</v>
      </c>
      <c r="AC14" s="22">
        <v>3.0</v>
      </c>
      <c r="AD14" s="22">
        <v>3.0</v>
      </c>
      <c r="AE14" s="28">
        <f t="shared" si="1"/>
        <v>28</v>
      </c>
      <c r="AF14" s="24" t="s">
        <v>195</v>
      </c>
      <c r="AG14" s="24" t="s">
        <v>1698</v>
      </c>
      <c r="AH14" s="29" t="str">
        <f t="shared" si="2"/>
        <v>Complete</v>
      </c>
      <c r="AI14" s="43"/>
    </row>
    <row r="15" ht="300.0" customHeight="1">
      <c r="A15" s="26">
        <v>387.0</v>
      </c>
      <c r="B15" s="27" t="str">
        <f>HYPERLINK("https://github.com/pytorch-fdn/ambassador-program/issues/387","https://github.com/pytorch-fdn/ambassador-program/issues/387")</f>
        <v>https://github.com/pytorch-fdn/ambassador-program/issues/387</v>
      </c>
      <c r="C15" s="26" t="s">
        <v>918</v>
      </c>
      <c r="D15" s="26" t="s">
        <v>920</v>
      </c>
      <c r="E15" s="26" t="s">
        <v>922</v>
      </c>
      <c r="F15" s="26" t="s">
        <v>99</v>
      </c>
      <c r="G15" s="26" t="s">
        <v>924</v>
      </c>
      <c r="H15" s="26" t="s">
        <v>103</v>
      </c>
      <c r="I15" s="26" t="s">
        <v>100</v>
      </c>
      <c r="J15" s="26" t="s">
        <v>928</v>
      </c>
      <c r="K15" s="26" t="s">
        <v>100</v>
      </c>
      <c r="L15" s="26" t="s">
        <v>100</v>
      </c>
      <c r="M15" s="26" t="s">
        <v>162</v>
      </c>
      <c r="N15" s="26" t="s">
        <v>100</v>
      </c>
      <c r="O15" s="26" t="s">
        <v>929</v>
      </c>
      <c r="P15" s="26" t="s">
        <v>931</v>
      </c>
      <c r="Q15" s="26" t="s">
        <v>934</v>
      </c>
      <c r="R15" s="26" t="s">
        <v>937</v>
      </c>
      <c r="S15" s="26" t="s">
        <v>144</v>
      </c>
      <c r="T15" s="26" t="s">
        <v>115</v>
      </c>
      <c r="U15" s="26" t="s">
        <v>922</v>
      </c>
      <c r="V15" s="26" t="s">
        <v>939</v>
      </c>
      <c r="W15" s="22">
        <v>2.0</v>
      </c>
      <c r="X15" s="22">
        <v>2.0</v>
      </c>
      <c r="Y15" s="22">
        <v>3.0</v>
      </c>
      <c r="Z15" s="22">
        <v>1.0</v>
      </c>
      <c r="AA15" s="22">
        <v>1.0</v>
      </c>
      <c r="AB15" s="22">
        <v>2.0</v>
      </c>
      <c r="AC15" s="22">
        <v>2.0</v>
      </c>
      <c r="AD15" s="22">
        <v>2.0</v>
      </c>
      <c r="AE15" s="28">
        <f t="shared" si="1"/>
        <v>15</v>
      </c>
      <c r="AF15" s="24" t="s">
        <v>124</v>
      </c>
      <c r="AG15" s="24" t="s">
        <v>1710</v>
      </c>
      <c r="AH15" s="29" t="str">
        <f t="shared" si="2"/>
        <v>Complete</v>
      </c>
      <c r="AI15" s="43"/>
    </row>
    <row r="16" ht="204.0" customHeight="1">
      <c r="A16" s="26">
        <v>372.0</v>
      </c>
      <c r="B16" s="27" t="str">
        <f>HYPERLINK("https://github.com/pytorch-fdn/ambassador-program/issues/372","https://github.com/pytorch-fdn/ambassador-program/issues/372")</f>
        <v>https://github.com/pytorch-fdn/ambassador-program/issues/372</v>
      </c>
      <c r="C16" s="26" t="s">
        <v>1699</v>
      </c>
      <c r="D16" s="26" t="s">
        <v>1700</v>
      </c>
      <c r="E16" s="26" t="s">
        <v>1701</v>
      </c>
      <c r="F16" s="26" t="s">
        <v>261</v>
      </c>
      <c r="G16" s="26" t="s">
        <v>1702</v>
      </c>
      <c r="H16" s="26" t="s">
        <v>103</v>
      </c>
      <c r="I16" s="26" t="s">
        <v>100</v>
      </c>
      <c r="J16" s="26" t="s">
        <v>1703</v>
      </c>
      <c r="K16" s="26" t="s">
        <v>100</v>
      </c>
      <c r="L16" s="26" t="s">
        <v>100</v>
      </c>
      <c r="M16" s="26" t="s">
        <v>500</v>
      </c>
      <c r="N16" s="26" t="s">
        <v>100</v>
      </c>
      <c r="O16" s="26" t="s">
        <v>1704</v>
      </c>
      <c r="P16" s="26" t="s">
        <v>1705</v>
      </c>
      <c r="Q16" s="26" t="s">
        <v>1706</v>
      </c>
      <c r="R16" s="26" t="s">
        <v>1707</v>
      </c>
      <c r="S16" s="26" t="s">
        <v>1708</v>
      </c>
      <c r="T16" s="26" t="s">
        <v>551</v>
      </c>
      <c r="U16" s="26" t="s">
        <v>1709</v>
      </c>
      <c r="V16" s="26" t="s">
        <v>118</v>
      </c>
      <c r="W16" s="22">
        <v>2.0</v>
      </c>
      <c r="X16" s="22">
        <v>3.0</v>
      </c>
      <c r="Y16" s="22">
        <v>3.0</v>
      </c>
      <c r="Z16" s="22">
        <v>2.0</v>
      </c>
      <c r="AA16" s="22">
        <v>4.0</v>
      </c>
      <c r="AB16" s="22">
        <v>3.0</v>
      </c>
      <c r="AC16" s="22">
        <v>3.0</v>
      </c>
      <c r="AD16" s="22">
        <v>3.0</v>
      </c>
      <c r="AE16" s="28">
        <f t="shared" si="1"/>
        <v>23</v>
      </c>
      <c r="AF16" s="24" t="s">
        <v>303</v>
      </c>
      <c r="AG16" s="24" t="s">
        <v>1721</v>
      </c>
      <c r="AH16" s="29" t="str">
        <f t="shared" si="2"/>
        <v>Complete</v>
      </c>
      <c r="AI16" s="43"/>
    </row>
    <row r="17" ht="228.0" customHeight="1">
      <c r="A17" s="26">
        <v>370.0</v>
      </c>
      <c r="B17" s="27" t="str">
        <f>HYPERLINK("https://github.com/pytorch-fdn/ambassador-program/issues/370","https://github.com/pytorch-fdn/ambassador-program/issues/370")</f>
        <v>https://github.com/pytorch-fdn/ambassador-program/issues/370</v>
      </c>
      <c r="C17" s="26" t="s">
        <v>1387</v>
      </c>
      <c r="D17" s="26" t="s">
        <v>1388</v>
      </c>
      <c r="E17" s="26" t="s">
        <v>1389</v>
      </c>
      <c r="F17" s="26" t="s">
        <v>99</v>
      </c>
      <c r="G17" s="26" t="s">
        <v>100</v>
      </c>
      <c r="H17" s="26" t="s">
        <v>98</v>
      </c>
      <c r="I17" s="26" t="s">
        <v>100</v>
      </c>
      <c r="J17" s="26" t="s">
        <v>1390</v>
      </c>
      <c r="K17" s="26" t="s">
        <v>1391</v>
      </c>
      <c r="L17" s="26" t="s">
        <v>1392</v>
      </c>
      <c r="M17" s="26" t="s">
        <v>391</v>
      </c>
      <c r="N17" s="26" t="s">
        <v>100</v>
      </c>
      <c r="O17" s="26" t="s">
        <v>1393</v>
      </c>
      <c r="P17" s="26" t="s">
        <v>1395</v>
      </c>
      <c r="Q17" s="26" t="s">
        <v>1396</v>
      </c>
      <c r="R17" s="26" t="s">
        <v>1397</v>
      </c>
      <c r="S17" s="26" t="s">
        <v>399</v>
      </c>
      <c r="T17" s="26" t="s">
        <v>348</v>
      </c>
      <c r="U17" s="26" t="s">
        <v>1398</v>
      </c>
      <c r="V17" s="26" t="s">
        <v>1399</v>
      </c>
      <c r="W17" s="22">
        <v>2.0</v>
      </c>
      <c r="X17" s="22">
        <v>3.0</v>
      </c>
      <c r="Y17" s="22">
        <v>3.0</v>
      </c>
      <c r="Z17" s="22">
        <v>3.0</v>
      </c>
      <c r="AA17" s="22">
        <v>2.0</v>
      </c>
      <c r="AB17" s="22">
        <v>3.0</v>
      </c>
      <c r="AC17" s="22">
        <v>2.0</v>
      </c>
      <c r="AD17" s="22">
        <v>1.0</v>
      </c>
      <c r="AE17" s="28">
        <f t="shared" si="1"/>
        <v>19</v>
      </c>
      <c r="AF17" s="24" t="s">
        <v>124</v>
      </c>
      <c r="AG17" s="24" t="s">
        <v>1722</v>
      </c>
      <c r="AH17" s="29" t="str">
        <f t="shared" si="2"/>
        <v>Complete</v>
      </c>
      <c r="AI17" s="43"/>
    </row>
    <row r="18" ht="408.75" customHeight="1">
      <c r="A18" s="26">
        <v>369.0</v>
      </c>
      <c r="B18" s="27" t="str">
        <f>HYPERLINK("https://github.com/pytorch-fdn/ambassador-program/issues/369","https://github.com/pytorch-fdn/ambassador-program/issues/369")</f>
        <v>https://github.com/pytorch-fdn/ambassador-program/issues/369</v>
      </c>
      <c r="C18" s="26" t="s">
        <v>1353</v>
      </c>
      <c r="D18" s="26" t="s">
        <v>1354</v>
      </c>
      <c r="E18" s="26" t="s">
        <v>138</v>
      </c>
      <c r="F18" s="26" t="s">
        <v>175</v>
      </c>
      <c r="G18" s="26" t="s">
        <v>1357</v>
      </c>
      <c r="H18" s="26" t="s">
        <v>103</v>
      </c>
      <c r="I18" s="26" t="s">
        <v>100</v>
      </c>
      <c r="J18" s="26" t="s">
        <v>1360</v>
      </c>
      <c r="K18" s="26" t="s">
        <v>1361</v>
      </c>
      <c r="L18" s="26" t="s">
        <v>100</v>
      </c>
      <c r="M18" s="26" t="s">
        <v>108</v>
      </c>
      <c r="N18" s="26" t="s">
        <v>100</v>
      </c>
      <c r="O18" s="26" t="s">
        <v>147</v>
      </c>
      <c r="P18" s="26" t="s">
        <v>1368</v>
      </c>
      <c r="Q18" s="26" t="s">
        <v>1370</v>
      </c>
      <c r="R18" s="26" t="s">
        <v>1372</v>
      </c>
      <c r="S18" s="26" t="s">
        <v>616</v>
      </c>
      <c r="T18" s="26" t="s">
        <v>158</v>
      </c>
      <c r="U18" s="26" t="s">
        <v>160</v>
      </c>
      <c r="V18" s="26" t="s">
        <v>1374</v>
      </c>
      <c r="W18" s="22">
        <v>3.0</v>
      </c>
      <c r="X18" s="22">
        <v>3.0</v>
      </c>
      <c r="Y18" s="22">
        <v>4.0</v>
      </c>
      <c r="Z18" s="22">
        <v>3.0</v>
      </c>
      <c r="AA18" s="22">
        <v>2.0</v>
      </c>
      <c r="AB18" s="22">
        <v>3.0</v>
      </c>
      <c r="AC18" s="22">
        <v>3.0</v>
      </c>
      <c r="AD18" s="22">
        <v>3.0</v>
      </c>
      <c r="AE18" s="28">
        <f t="shared" si="1"/>
        <v>24</v>
      </c>
      <c r="AF18" s="24" t="s">
        <v>303</v>
      </c>
      <c r="AG18" s="24" t="s">
        <v>1723</v>
      </c>
      <c r="AH18" s="29" t="str">
        <f t="shared" si="2"/>
        <v>Complete</v>
      </c>
      <c r="AI18" s="43"/>
    </row>
    <row r="19" ht="408.75" customHeight="1">
      <c r="A19" s="26">
        <v>357.0</v>
      </c>
      <c r="B19" s="27" t="str">
        <f>HYPERLINK("https://github.com/pytorch-fdn/ambassador-program/issues/357","https://github.com/pytorch-fdn/ambassador-program/issues/357")</f>
        <v>https://github.com/pytorch-fdn/ambassador-program/issues/357</v>
      </c>
      <c r="C19" s="26" t="s">
        <v>754</v>
      </c>
      <c r="D19" s="26" t="s">
        <v>755</v>
      </c>
      <c r="E19" s="26" t="s">
        <v>262</v>
      </c>
      <c r="F19" s="26" t="s">
        <v>95</v>
      </c>
      <c r="G19" s="26" t="s">
        <v>757</v>
      </c>
      <c r="H19" s="26" t="s">
        <v>103</v>
      </c>
      <c r="I19" s="26" t="s">
        <v>100</v>
      </c>
      <c r="J19" s="26" t="s">
        <v>759</v>
      </c>
      <c r="K19" s="26" t="s">
        <v>100</v>
      </c>
      <c r="L19" s="26" t="s">
        <v>100</v>
      </c>
      <c r="M19" s="26" t="s">
        <v>162</v>
      </c>
      <c r="N19" s="26" t="s">
        <v>762</v>
      </c>
      <c r="O19" s="26" t="s">
        <v>764</v>
      </c>
      <c r="P19" s="26" t="s">
        <v>765</v>
      </c>
      <c r="Q19" s="26" t="s">
        <v>767</v>
      </c>
      <c r="R19" s="26" t="s">
        <v>773</v>
      </c>
      <c r="S19" s="26" t="s">
        <v>777</v>
      </c>
      <c r="T19" s="26" t="s">
        <v>115</v>
      </c>
      <c r="U19" s="26" t="s">
        <v>262</v>
      </c>
      <c r="V19" s="26" t="s">
        <v>118</v>
      </c>
      <c r="W19" s="22">
        <v>4.0</v>
      </c>
      <c r="X19" s="22">
        <v>4.0</v>
      </c>
      <c r="Y19" s="22">
        <v>4.0</v>
      </c>
      <c r="Z19" s="22">
        <v>3.0</v>
      </c>
      <c r="AA19" s="22">
        <v>5.0</v>
      </c>
      <c r="AB19" s="22">
        <v>4.0</v>
      </c>
      <c r="AC19" s="22">
        <v>4.0</v>
      </c>
      <c r="AD19" s="22">
        <v>4.0</v>
      </c>
      <c r="AE19" s="28">
        <f t="shared" si="1"/>
        <v>32</v>
      </c>
      <c r="AF19" s="24" t="s">
        <v>164</v>
      </c>
      <c r="AG19" s="24" t="s">
        <v>1724</v>
      </c>
      <c r="AH19" s="29" t="str">
        <f t="shared" si="2"/>
        <v>Complete</v>
      </c>
      <c r="AI19" s="43"/>
    </row>
    <row r="20" ht="336.0" customHeight="1">
      <c r="A20" s="26">
        <v>356.0</v>
      </c>
      <c r="B20" s="27" t="str">
        <f>HYPERLINK("https://github.com/pytorch-fdn/ambassador-program/issues/356","https://github.com/pytorch-fdn/ambassador-program/issues/356")</f>
        <v>https://github.com/pytorch-fdn/ambassador-program/issues/356</v>
      </c>
      <c r="C20" s="26" t="s">
        <v>1575</v>
      </c>
      <c r="D20" s="26" t="s">
        <v>1577</v>
      </c>
      <c r="E20" s="26" t="s">
        <v>813</v>
      </c>
      <c r="F20" s="26" t="s">
        <v>261</v>
      </c>
      <c r="G20" s="26" t="s">
        <v>1579</v>
      </c>
      <c r="H20" s="26" t="s">
        <v>98</v>
      </c>
      <c r="I20" s="26" t="s">
        <v>100</v>
      </c>
      <c r="J20" s="26" t="s">
        <v>100</v>
      </c>
      <c r="K20" s="26" t="s">
        <v>100</v>
      </c>
      <c r="L20" s="26" t="s">
        <v>1583</v>
      </c>
      <c r="M20" s="26" t="s">
        <v>334</v>
      </c>
      <c r="N20" s="26" t="s">
        <v>1585</v>
      </c>
      <c r="O20" s="26" t="s">
        <v>1586</v>
      </c>
      <c r="P20" s="26" t="s">
        <v>1589</v>
      </c>
      <c r="Q20" s="26" t="s">
        <v>1590</v>
      </c>
      <c r="R20" s="26" t="s">
        <v>1592</v>
      </c>
      <c r="S20" s="26" t="s">
        <v>254</v>
      </c>
      <c r="T20" s="26" t="s">
        <v>121</v>
      </c>
      <c r="U20" s="26" t="s">
        <v>255</v>
      </c>
      <c r="V20" s="26" t="s">
        <v>1593</v>
      </c>
      <c r="W20" s="22">
        <v>3.0</v>
      </c>
      <c r="X20" s="22">
        <v>3.0</v>
      </c>
      <c r="Y20" s="22">
        <v>4.0</v>
      </c>
      <c r="Z20" s="22">
        <v>2.0</v>
      </c>
      <c r="AA20" s="22">
        <v>3.0</v>
      </c>
      <c r="AB20" s="22">
        <v>2.0</v>
      </c>
      <c r="AC20" s="22">
        <v>4.0</v>
      </c>
      <c r="AD20" s="22">
        <v>3.0</v>
      </c>
      <c r="AE20" s="28">
        <f t="shared" si="1"/>
        <v>24</v>
      </c>
      <c r="AF20" s="24" t="s">
        <v>195</v>
      </c>
      <c r="AG20" s="24" t="s">
        <v>1725</v>
      </c>
      <c r="AH20" s="29" t="str">
        <f t="shared" si="2"/>
        <v>Complete</v>
      </c>
      <c r="AI20" s="43"/>
    </row>
    <row r="21" ht="408.75" customHeight="1">
      <c r="A21" s="26">
        <v>352.0</v>
      </c>
      <c r="B21" s="27" t="str">
        <f>HYPERLINK("https://github.com/pytorch-fdn/ambassador-program/issues/352","https://github.com/pytorch-fdn/ambassador-program/issues/352")</f>
        <v>https://github.com/pytorch-fdn/ambassador-program/issues/352</v>
      </c>
      <c r="C21" s="26" t="s">
        <v>1007</v>
      </c>
      <c r="D21" s="26" t="s">
        <v>1009</v>
      </c>
      <c r="E21" s="26" t="s">
        <v>262</v>
      </c>
      <c r="F21" s="26" t="s">
        <v>175</v>
      </c>
      <c r="G21" s="26" t="s">
        <v>1012</v>
      </c>
      <c r="H21" s="26" t="s">
        <v>103</v>
      </c>
      <c r="I21" s="26" t="s">
        <v>100</v>
      </c>
      <c r="J21" s="26" t="s">
        <v>1015</v>
      </c>
      <c r="K21" s="26" t="s">
        <v>100</v>
      </c>
      <c r="L21" s="26" t="s">
        <v>100</v>
      </c>
      <c r="M21" s="26" t="s">
        <v>391</v>
      </c>
      <c r="N21" s="26" t="s">
        <v>100</v>
      </c>
      <c r="O21" s="26" t="s">
        <v>658</v>
      </c>
      <c r="P21" s="26" t="s">
        <v>1030</v>
      </c>
      <c r="Q21" s="26" t="s">
        <v>1031</v>
      </c>
      <c r="R21" s="26" t="s">
        <v>1033</v>
      </c>
      <c r="S21" s="26" t="s">
        <v>777</v>
      </c>
      <c r="T21" s="26" t="s">
        <v>115</v>
      </c>
      <c r="U21" s="26" t="s">
        <v>1035</v>
      </c>
      <c r="V21" s="26" t="s">
        <v>1039</v>
      </c>
      <c r="W21" s="22">
        <v>4.0</v>
      </c>
      <c r="X21" s="22">
        <v>3.0</v>
      </c>
      <c r="Y21" s="22">
        <v>3.0</v>
      </c>
      <c r="Z21" s="22">
        <v>3.0</v>
      </c>
      <c r="AA21" s="22">
        <v>2.0</v>
      </c>
      <c r="AB21" s="22">
        <v>3.0</v>
      </c>
      <c r="AC21" s="22">
        <v>3.0</v>
      </c>
      <c r="AD21" s="22">
        <v>3.0</v>
      </c>
      <c r="AE21" s="28">
        <f t="shared" si="1"/>
        <v>24</v>
      </c>
      <c r="AF21" s="24" t="s">
        <v>195</v>
      </c>
      <c r="AG21" s="24" t="s">
        <v>1726</v>
      </c>
      <c r="AH21" s="29" t="str">
        <f t="shared" si="2"/>
        <v>Complete</v>
      </c>
      <c r="AI21" s="43"/>
    </row>
    <row r="22" ht="372.0" customHeight="1">
      <c r="A22" s="26">
        <v>350.0</v>
      </c>
      <c r="B22" s="27" t="str">
        <f>HYPERLINK("https://github.com/pytorch-fdn/ambassador-program/issues/350","https://github.com/pytorch-fdn/ambassador-program/issues/350")</f>
        <v>https://github.com/pytorch-fdn/ambassador-program/issues/350</v>
      </c>
      <c r="C22" s="26" t="s">
        <v>1596</v>
      </c>
      <c r="D22" s="26" t="s">
        <v>1597</v>
      </c>
      <c r="E22" s="26" t="s">
        <v>1598</v>
      </c>
      <c r="F22" s="26" t="s">
        <v>1599</v>
      </c>
      <c r="G22" s="26" t="s">
        <v>1600</v>
      </c>
      <c r="H22" s="26" t="s">
        <v>103</v>
      </c>
      <c r="I22" s="26" t="s">
        <v>100</v>
      </c>
      <c r="J22" s="26" t="s">
        <v>1601</v>
      </c>
      <c r="K22" s="26" t="s">
        <v>100</v>
      </c>
      <c r="L22" s="26" t="s">
        <v>100</v>
      </c>
      <c r="M22" s="26" t="s">
        <v>1602</v>
      </c>
      <c r="N22" s="26" t="s">
        <v>100</v>
      </c>
      <c r="O22" s="26" t="s">
        <v>1603</v>
      </c>
      <c r="P22" s="26" t="s">
        <v>1604</v>
      </c>
      <c r="Q22" s="26" t="s">
        <v>1605</v>
      </c>
      <c r="R22" s="26" t="s">
        <v>1606</v>
      </c>
      <c r="S22" s="26" t="s">
        <v>1607</v>
      </c>
      <c r="T22" s="26" t="s">
        <v>348</v>
      </c>
      <c r="U22" s="26" t="s">
        <v>349</v>
      </c>
      <c r="V22" s="26" t="s">
        <v>1608</v>
      </c>
      <c r="W22" s="22">
        <v>3.0</v>
      </c>
      <c r="X22" s="22">
        <v>2.0</v>
      </c>
      <c r="Y22" s="22">
        <v>4.0</v>
      </c>
      <c r="Z22" s="22">
        <v>3.0</v>
      </c>
      <c r="AA22" s="22">
        <v>3.0</v>
      </c>
      <c r="AB22" s="22">
        <v>3.0</v>
      </c>
      <c r="AC22" s="22">
        <v>2.0</v>
      </c>
      <c r="AD22" s="22">
        <v>3.0</v>
      </c>
      <c r="AE22" s="28">
        <f t="shared" si="1"/>
        <v>23</v>
      </c>
      <c r="AF22" s="24" t="s">
        <v>195</v>
      </c>
      <c r="AG22" s="24" t="s">
        <v>1727</v>
      </c>
      <c r="AH22" s="29" t="str">
        <f t="shared" si="2"/>
        <v>Complete</v>
      </c>
      <c r="AI22" s="43"/>
    </row>
    <row r="23" ht="408.75" customHeight="1">
      <c r="A23" s="26">
        <v>345.0</v>
      </c>
      <c r="B23" s="27" t="str">
        <f>HYPERLINK("https://github.com/pytorch-fdn/ambassador-program/issues/345","https://github.com/pytorch-fdn/ambassador-program/issues/345")</f>
        <v>https://github.com/pytorch-fdn/ambassador-program/issues/345</v>
      </c>
      <c r="C23" s="26" t="s">
        <v>1728</v>
      </c>
      <c r="D23" s="26" t="s">
        <v>1729</v>
      </c>
      <c r="E23" s="26" t="s">
        <v>1730</v>
      </c>
      <c r="F23" s="26" t="s">
        <v>175</v>
      </c>
      <c r="G23" s="26" t="s">
        <v>1731</v>
      </c>
      <c r="H23" s="26" t="s">
        <v>98</v>
      </c>
      <c r="I23" s="26" t="s">
        <v>100</v>
      </c>
      <c r="J23" s="26" t="s">
        <v>1732</v>
      </c>
      <c r="K23" s="26" t="s">
        <v>100</v>
      </c>
      <c r="L23" s="26" t="s">
        <v>1733</v>
      </c>
      <c r="M23" s="26" t="s">
        <v>642</v>
      </c>
      <c r="N23" s="26" t="s">
        <v>100</v>
      </c>
      <c r="O23" s="26" t="s">
        <v>658</v>
      </c>
      <c r="P23" s="26" t="s">
        <v>1734</v>
      </c>
      <c r="Q23" s="26" t="s">
        <v>1735</v>
      </c>
      <c r="R23" s="26" t="s">
        <v>1736</v>
      </c>
      <c r="S23" s="26" t="s">
        <v>777</v>
      </c>
      <c r="T23" s="26" t="s">
        <v>115</v>
      </c>
      <c r="U23" s="26" t="s">
        <v>262</v>
      </c>
      <c r="V23" s="26" t="s">
        <v>1737</v>
      </c>
      <c r="W23" s="22">
        <v>3.0</v>
      </c>
      <c r="X23" s="22">
        <v>3.0</v>
      </c>
      <c r="Y23" s="22">
        <v>4.0</v>
      </c>
      <c r="Z23" s="22">
        <v>4.0</v>
      </c>
      <c r="AA23" s="22">
        <v>2.0</v>
      </c>
      <c r="AB23" s="22">
        <v>3.0</v>
      </c>
      <c r="AC23" s="22">
        <v>3.0</v>
      </c>
      <c r="AD23" s="22">
        <v>3.0</v>
      </c>
      <c r="AE23" s="28">
        <f t="shared" si="1"/>
        <v>25</v>
      </c>
      <c r="AF23" s="24" t="s">
        <v>164</v>
      </c>
      <c r="AG23" s="24" t="s">
        <v>1738</v>
      </c>
      <c r="AH23" s="29" t="str">
        <f t="shared" si="2"/>
        <v>Complete</v>
      </c>
      <c r="AI23" s="43"/>
    </row>
    <row r="24" ht="336.0" customHeight="1">
      <c r="A24" s="26">
        <v>343.0</v>
      </c>
      <c r="B24" s="27" t="str">
        <f>HYPERLINK("https://github.com/pytorch-fdn/ambassador-program/issues/343","https://github.com/pytorch-fdn/ambassador-program/issues/343")</f>
        <v>https://github.com/pytorch-fdn/ambassador-program/issues/343</v>
      </c>
      <c r="C24" s="26" t="s">
        <v>1538</v>
      </c>
      <c r="D24" s="26" t="s">
        <v>1539</v>
      </c>
      <c r="E24" s="26" t="s">
        <v>1422</v>
      </c>
      <c r="F24" s="26" t="s">
        <v>175</v>
      </c>
      <c r="G24" s="26" t="s">
        <v>1540</v>
      </c>
      <c r="H24" s="26" t="s">
        <v>103</v>
      </c>
      <c r="I24" s="26" t="s">
        <v>100</v>
      </c>
      <c r="J24" s="26" t="s">
        <v>1542</v>
      </c>
      <c r="K24" s="26" t="s">
        <v>100</v>
      </c>
      <c r="L24" s="26" t="s">
        <v>100</v>
      </c>
      <c r="M24" s="26" t="s">
        <v>162</v>
      </c>
      <c r="N24" s="26" t="s">
        <v>100</v>
      </c>
      <c r="O24" s="26" t="s">
        <v>621</v>
      </c>
      <c r="P24" s="26" t="s">
        <v>1543</v>
      </c>
      <c r="Q24" s="26" t="s">
        <v>1544</v>
      </c>
      <c r="R24" s="26" t="s">
        <v>1545</v>
      </c>
      <c r="S24" s="26" t="s">
        <v>777</v>
      </c>
      <c r="T24" s="26" t="s">
        <v>115</v>
      </c>
      <c r="U24" s="26" t="s">
        <v>145</v>
      </c>
      <c r="V24" s="26" t="s">
        <v>1547</v>
      </c>
      <c r="W24" s="22">
        <v>2.0</v>
      </c>
      <c r="X24" s="22">
        <v>1.0</v>
      </c>
      <c r="Y24" s="22">
        <v>2.0</v>
      </c>
      <c r="Z24" s="22">
        <v>3.0</v>
      </c>
      <c r="AA24" s="22">
        <v>2.0</v>
      </c>
      <c r="AB24" s="22">
        <v>1.0</v>
      </c>
      <c r="AC24" s="22">
        <v>1.0</v>
      </c>
      <c r="AD24" s="22">
        <v>1.0</v>
      </c>
      <c r="AE24" s="28">
        <f t="shared" si="1"/>
        <v>13</v>
      </c>
      <c r="AF24" s="24" t="s">
        <v>124</v>
      </c>
      <c r="AG24" s="24" t="s">
        <v>1739</v>
      </c>
      <c r="AH24" s="29" t="str">
        <f t="shared" si="2"/>
        <v>Complete</v>
      </c>
      <c r="AI24" s="43"/>
    </row>
    <row r="25" ht="240.0" customHeight="1">
      <c r="A25" s="26">
        <v>340.0</v>
      </c>
      <c r="B25" s="27" t="str">
        <f>HYPERLINK("https://github.com/pytorch-fdn/ambassador-program/issues/340","https://github.com/pytorch-fdn/ambassador-program/issues/340")</f>
        <v>https://github.com/pytorch-fdn/ambassador-program/issues/340</v>
      </c>
      <c r="C25" s="26" t="s">
        <v>1549</v>
      </c>
      <c r="D25" s="26" t="s">
        <v>1550</v>
      </c>
      <c r="E25" s="26" t="s">
        <v>1551</v>
      </c>
      <c r="F25" s="26" t="s">
        <v>95</v>
      </c>
      <c r="G25" s="26" t="s">
        <v>1552</v>
      </c>
      <c r="H25" s="26" t="s">
        <v>103</v>
      </c>
      <c r="I25" s="26" t="s">
        <v>100</v>
      </c>
      <c r="J25" s="26" t="s">
        <v>1553</v>
      </c>
      <c r="K25" s="26" t="s">
        <v>1554</v>
      </c>
      <c r="L25" s="26" t="s">
        <v>100</v>
      </c>
      <c r="M25" s="26" t="s">
        <v>642</v>
      </c>
      <c r="N25" s="26" t="s">
        <v>100</v>
      </c>
      <c r="O25" s="26" t="s">
        <v>621</v>
      </c>
      <c r="P25" s="26" t="s">
        <v>1555</v>
      </c>
      <c r="Q25" s="26" t="s">
        <v>1556</v>
      </c>
      <c r="R25" s="26" t="s">
        <v>1558</v>
      </c>
      <c r="S25" s="26" t="s">
        <v>777</v>
      </c>
      <c r="T25" s="26" t="s">
        <v>115</v>
      </c>
      <c r="U25" s="26" t="s">
        <v>866</v>
      </c>
      <c r="V25" s="26" t="s">
        <v>118</v>
      </c>
      <c r="W25" s="22">
        <v>2.0</v>
      </c>
      <c r="X25" s="22">
        <v>1.0</v>
      </c>
      <c r="Y25" s="22">
        <v>3.0</v>
      </c>
      <c r="Z25" s="22">
        <v>2.0</v>
      </c>
      <c r="AA25" s="22">
        <v>2.0</v>
      </c>
      <c r="AB25" s="22">
        <v>2.0</v>
      </c>
      <c r="AC25" s="22">
        <v>2.0</v>
      </c>
      <c r="AD25" s="22">
        <v>3.0</v>
      </c>
      <c r="AE25" s="28">
        <f t="shared" si="1"/>
        <v>17</v>
      </c>
      <c r="AF25" s="24" t="s">
        <v>303</v>
      </c>
      <c r="AG25" s="24" t="s">
        <v>1740</v>
      </c>
      <c r="AH25" s="29" t="str">
        <f t="shared" si="2"/>
        <v>Complete</v>
      </c>
      <c r="AI25" s="43"/>
    </row>
    <row r="26" ht="408.75" customHeight="1">
      <c r="A26" s="26">
        <v>338.0</v>
      </c>
      <c r="B26" s="27" t="str">
        <f>HYPERLINK("https://github.com/pytorch-fdn/ambassador-program/issues/338","https://github.com/pytorch-fdn/ambassador-program/issues/338")</f>
        <v>https://github.com/pytorch-fdn/ambassador-program/issues/338</v>
      </c>
      <c r="C26" s="26" t="s">
        <v>1711</v>
      </c>
      <c r="D26" s="26" t="s">
        <v>1712</v>
      </c>
      <c r="E26" s="26" t="s">
        <v>1713</v>
      </c>
      <c r="F26" s="26" t="s">
        <v>95</v>
      </c>
      <c r="G26" s="26" t="s">
        <v>100</v>
      </c>
      <c r="H26" s="26" t="s">
        <v>103</v>
      </c>
      <c r="I26" s="26" t="s">
        <v>100</v>
      </c>
      <c r="J26" s="26" t="s">
        <v>1714</v>
      </c>
      <c r="K26" s="26" t="s">
        <v>100</v>
      </c>
      <c r="L26" s="26" t="s">
        <v>100</v>
      </c>
      <c r="M26" s="26" t="s">
        <v>1715</v>
      </c>
      <c r="N26" s="26" t="s">
        <v>335</v>
      </c>
      <c r="O26" s="26" t="s">
        <v>1716</v>
      </c>
      <c r="P26" s="26" t="s">
        <v>1717</v>
      </c>
      <c r="Q26" s="26" t="s">
        <v>1718</v>
      </c>
      <c r="R26" s="26" t="s">
        <v>1719</v>
      </c>
      <c r="S26" s="26" t="s">
        <v>144</v>
      </c>
      <c r="T26" s="26" t="s">
        <v>115</v>
      </c>
      <c r="U26" s="26" t="s">
        <v>145</v>
      </c>
      <c r="V26" s="26" t="s">
        <v>1720</v>
      </c>
      <c r="W26" s="22">
        <v>5.0</v>
      </c>
      <c r="X26" s="22">
        <v>4.0</v>
      </c>
      <c r="Y26" s="22">
        <v>4.0</v>
      </c>
      <c r="Z26" s="22">
        <v>5.0</v>
      </c>
      <c r="AA26" s="22">
        <v>4.0</v>
      </c>
      <c r="AB26" s="22">
        <v>4.0</v>
      </c>
      <c r="AC26" s="22">
        <v>4.0</v>
      </c>
      <c r="AD26" s="22">
        <v>4.0</v>
      </c>
      <c r="AE26" s="28">
        <f t="shared" si="1"/>
        <v>34</v>
      </c>
      <c r="AF26" s="24" t="s">
        <v>164</v>
      </c>
      <c r="AG26" s="24" t="s">
        <v>1741</v>
      </c>
      <c r="AH26" s="29" t="str">
        <f t="shared" si="2"/>
        <v>Complete</v>
      </c>
      <c r="AI26" s="43"/>
    </row>
    <row r="27" ht="408.75" customHeight="1">
      <c r="A27" s="26">
        <v>337.0</v>
      </c>
      <c r="B27" s="27" t="str">
        <f>HYPERLINK("https://github.com/pytorch-fdn/ambassador-program/issues/337","https://github.com/pytorch-fdn/ambassador-program/issues/337")</f>
        <v>https://github.com/pytorch-fdn/ambassador-program/issues/337</v>
      </c>
      <c r="C27" s="26" t="s">
        <v>1433</v>
      </c>
      <c r="D27" s="26" t="s">
        <v>1434</v>
      </c>
      <c r="E27" s="26" t="s">
        <v>1435</v>
      </c>
      <c r="F27" s="26" t="s">
        <v>175</v>
      </c>
      <c r="G27" s="26" t="s">
        <v>1437</v>
      </c>
      <c r="H27" s="26" t="s">
        <v>103</v>
      </c>
      <c r="I27" s="26" t="s">
        <v>100</v>
      </c>
      <c r="J27" s="26" t="s">
        <v>1439</v>
      </c>
      <c r="K27" s="26" t="s">
        <v>100</v>
      </c>
      <c r="L27" s="26" t="s">
        <v>100</v>
      </c>
      <c r="M27" s="26" t="s">
        <v>162</v>
      </c>
      <c r="N27" s="26" t="s">
        <v>100</v>
      </c>
      <c r="O27" s="26" t="s">
        <v>921</v>
      </c>
      <c r="P27" s="26" t="s">
        <v>1442</v>
      </c>
      <c r="Q27" s="26" t="s">
        <v>1447</v>
      </c>
      <c r="R27" s="26" t="s">
        <v>1449</v>
      </c>
      <c r="S27" s="26" t="s">
        <v>1450</v>
      </c>
      <c r="T27" s="26" t="s">
        <v>158</v>
      </c>
      <c r="U27" s="26" t="s">
        <v>552</v>
      </c>
      <c r="V27" s="26" t="s">
        <v>118</v>
      </c>
      <c r="W27" s="22">
        <v>3.0</v>
      </c>
      <c r="X27" s="22">
        <v>2.0</v>
      </c>
      <c r="Y27" s="22">
        <v>3.0</v>
      </c>
      <c r="Z27" s="22">
        <v>2.0</v>
      </c>
      <c r="AA27" s="22">
        <v>2.0</v>
      </c>
      <c r="AB27" s="22">
        <v>2.0</v>
      </c>
      <c r="AC27" s="22">
        <v>2.0</v>
      </c>
      <c r="AD27" s="22">
        <v>2.0</v>
      </c>
      <c r="AE27" s="28">
        <f t="shared" si="1"/>
        <v>18</v>
      </c>
      <c r="AF27" s="24" t="s">
        <v>303</v>
      </c>
      <c r="AG27" s="24" t="s">
        <v>1742</v>
      </c>
      <c r="AH27" s="29" t="str">
        <f t="shared" si="2"/>
        <v>Complete</v>
      </c>
      <c r="AI27" s="43"/>
    </row>
    <row r="28" ht="360.0" customHeight="1">
      <c r="A28" s="32">
        <v>328.0</v>
      </c>
      <c r="B28" s="33" t="str">
        <f>HYPERLINK("https://github.com/pytorch-fdn/ambassador-program/issues/328","https://github.com/pytorch-fdn/ambassador-program/issues/328")</f>
        <v>https://github.com/pytorch-fdn/ambassador-program/issues/328</v>
      </c>
      <c r="C28" s="32" t="s">
        <v>1090</v>
      </c>
      <c r="D28" s="32" t="s">
        <v>1091</v>
      </c>
      <c r="E28" s="32" t="s">
        <v>1092</v>
      </c>
      <c r="F28" s="32" t="s">
        <v>175</v>
      </c>
      <c r="G28" s="32" t="s">
        <v>1093</v>
      </c>
      <c r="H28" s="32" t="s">
        <v>98</v>
      </c>
      <c r="I28" s="32" t="s">
        <v>100</v>
      </c>
      <c r="J28" s="32" t="s">
        <v>1094</v>
      </c>
      <c r="K28" s="32" t="s">
        <v>100</v>
      </c>
      <c r="L28" s="32" t="s">
        <v>1095</v>
      </c>
      <c r="M28" s="32" t="s">
        <v>500</v>
      </c>
      <c r="N28" s="32" t="s">
        <v>100</v>
      </c>
      <c r="O28" s="32" t="s">
        <v>658</v>
      </c>
      <c r="P28" s="32" t="s">
        <v>1096</v>
      </c>
      <c r="Q28" s="32" t="s">
        <v>1097</v>
      </c>
      <c r="R28" s="32" t="s">
        <v>1098</v>
      </c>
      <c r="S28" s="32" t="s">
        <v>777</v>
      </c>
      <c r="T28" s="32" t="s">
        <v>551</v>
      </c>
      <c r="U28" s="32" t="s">
        <v>1099</v>
      </c>
      <c r="V28" s="32" t="s">
        <v>1100</v>
      </c>
      <c r="W28" s="22">
        <v>3.0</v>
      </c>
      <c r="X28" s="22">
        <v>4.0</v>
      </c>
      <c r="Y28" s="22">
        <v>2.0</v>
      </c>
      <c r="Z28" s="22">
        <v>3.0</v>
      </c>
      <c r="AA28" s="22">
        <v>3.0</v>
      </c>
      <c r="AB28" s="22">
        <v>4.0</v>
      </c>
      <c r="AC28" s="22">
        <v>3.0</v>
      </c>
      <c r="AD28" s="22">
        <v>3.0</v>
      </c>
      <c r="AE28" s="34">
        <f t="shared" si="1"/>
        <v>25</v>
      </c>
      <c r="AF28" s="24" t="s">
        <v>195</v>
      </c>
      <c r="AG28" s="24" t="s">
        <v>1743</v>
      </c>
      <c r="AH28" s="35" t="str">
        <f t="shared" si="2"/>
        <v>Complete</v>
      </c>
      <c r="AI28" s="4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H1"/>
    <mergeCell ref="A2:AH2"/>
    <mergeCell ref="A3:V3"/>
    <mergeCell ref="W3:AH3"/>
  </mergeCells>
  <conditionalFormatting sqref="AH5:AI28">
    <cfRule type="containsText" dxfId="4" priority="1" operator="containsText" text="Complete">
      <formula>NOT(ISERROR(SEARCH(("Complete"),(AH5))))</formula>
    </cfRule>
  </conditionalFormatting>
  <conditionalFormatting sqref="AH5:AI28">
    <cfRule type="containsText" dxfId="5" priority="2" operator="containsText" text="In Progress">
      <formula>NOT(ISERROR(SEARCH(("In Progress"),(AH5))))</formula>
    </cfRule>
  </conditionalFormatting>
  <conditionalFormatting sqref="AH5:AI28">
    <cfRule type="containsText" dxfId="6" priority="3" operator="containsText" text="Reassignment">
      <formula>NOT(ISERROR(SEARCH(("Reassignment"),(AH5))))</formula>
    </cfRule>
  </conditionalFormatting>
  <dataValidations>
    <dataValidation type="list" allowBlank="1" sqref="W5:AD28">
      <formula1>"1,2,3,4,5"</formula1>
    </dataValidation>
    <dataValidation type="list" allowBlank="1" sqref="AF5:AF28">
      <formula1>"Strong Recommend,Recommend,Borderline,Do Not Recommend,Abstain (Conflict of Interest)"</formula1>
    </dataValidation>
  </dataValidations>
  <printOptions/>
  <pageMargins bottom="0.75" footer="0.0" header="0.0" left="0.7" right="0.7" top="0.75"/>
  <pageSetup orientation="landscape"/>
  <drawing r:id="rId1"/>
  <tableParts count="1">
    <tablePart r:id="rId3"/>
  </tableParts>
</worksheet>
</file>